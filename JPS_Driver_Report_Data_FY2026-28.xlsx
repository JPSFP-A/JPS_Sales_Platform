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te Class Totals" sheetId="1" state="visible" r:id="rId3"/>
    <sheet name="FY2026-27 Bridge" sheetId="2" state="visible" r:id="rId4"/>
    <sheet name="FY2027-28 Bridge" sheetId="3" state="visible" r:id="rId5"/>
    <sheet name="RT50 by Industry" sheetId="4" state="visible" r:id="rId6"/>
    <sheet name="RT40 by Industry" sheetId="5" state="visible" r:id="rId7"/>
    <sheet name="RT70 by Industry" sheetId="6" state="visible" r:id="rId8"/>
    <sheet name="RT20 Comm by Industry" sheetId="7" state="visible" r:id="rId9"/>
    <sheet name="Defection Detai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<sst xmlns="http://schemas.openxmlformats.org/spreadsheetml/2006/main" count="405" uniqueCount="169">
  <si>
    <t xml:space="preserve">JPS Sales Forecast — Rate Class Totals (GWh)</t>
  </si>
  <si>
    <t xml:space="preserve">Source: Driver Forecast engine, live-verified 2026-09-10. FY2025-26 actual/closed, FY2027-28 forecast. Caribbean Cement is this account's own live chain (Section 1 note); a separate standalone model used elsewhere does not tie to it.</t>
  </si>
  <si>
    <t xml:space="preserve">Rate Class</t>
  </si>
  <si>
    <t xml:space="preserve">FY2025</t>
  </si>
  <si>
    <t xml:space="preserve">FY2026</t>
  </si>
  <si>
    <t xml:space="preserve">YoY %</t>
  </si>
  <si>
    <t xml:space="preserve">FY2027</t>
  </si>
  <si>
    <t xml:space="preserve">FY2028</t>
  </si>
  <si>
    <t xml:space="preserve">RT10 Residential</t>
  </si>
  <si>
    <t xml:space="preserve">RT20 Small Commercial</t>
  </si>
  <si>
    <t xml:space="preserve">RT40 Commercial</t>
  </si>
  <si>
    <t xml:space="preserve">RT50 Large Commercial</t>
  </si>
  <si>
    <t xml:space="preserve">RT60-ST Street Lighting</t>
  </si>
  <si>
    <t xml:space="preserve">RT70 Industrial</t>
  </si>
  <si>
    <t xml:space="preserve">Total</t>
  </si>
  <si>
    <t xml:space="preserve">RT50 excluding Caribbean Cement</t>
  </si>
  <si>
    <t xml:space="preserve">Caribbean Cement</t>
  </si>
  <si>
    <t xml:space="preserve">All other RT50</t>
  </si>
  <si>
    <t xml:space="preserve">FY2026 to FY2027 Movement by Driver (+141.2 GWh)</t>
  </si>
  <si>
    <t xml:space="preserve">Driver</t>
  </si>
  <si>
    <t xml:space="preserve">Sub-driver</t>
  </si>
  <si>
    <t xml:space="preserve">GWh</t>
  </si>
  <si>
    <t xml:space="preserve">Notes</t>
  </si>
  <si>
    <t xml:space="preserve">New load / underlying demand</t>
  </si>
  <si>
    <t xml:space="preserve">RT10/RT20 residential</t>
  </si>
  <si>
    <t xml:space="preserve">Net of the four residential sub-drivers below</t>
  </si>
  <si>
    <t xml:space="preserve">Customer acquisition</t>
  </si>
  <si>
    <t xml:space="preserve">RT10/RT20</t>
  </si>
  <si>
    <t xml:space="preserve">820 RT10 premises/mo +1.52%/yr, 118 RT20 residential +2.87%/yr</t>
  </si>
  <si>
    <t xml:space="preserve">Prepaid</t>
  </si>
  <si>
    <t xml:space="preserve">Prepaid volume grown 2.9% vs 10.9% observed, deliberately conservative</t>
  </si>
  <si>
    <t xml:space="preserve">Bucket migration</t>
  </si>
  <si>
    <t xml:space="preserve">Engine base carry-forward independently measured +78.0, within 4.5%</t>
  </si>
  <si>
    <t xml:space="preserve">Load decline</t>
  </si>
  <si>
    <t xml:space="preserve">Conservation and tariff response</t>
  </si>
  <si>
    <t xml:space="preserve">Temperature</t>
  </si>
  <si>
    <t xml:space="preserve">Weather driver, engine chain output. Split below: independently measured +5.7 combined</t>
  </si>
  <si>
    <t xml:space="preserve">RT10</t>
  </si>
  <si>
    <t xml:space="preserve">Residential cohort weather component</t>
  </si>
  <si>
    <t xml:space="preserve">RT20 residential</t>
  </si>
  <si>
    <t xml:space="preserve">RT20</t>
  </si>
  <si>
    <t xml:space="preserve">Solar adaption residential</t>
  </si>
  <si>
    <t xml:space="preserve">Solar/DER driver, engine chain output. Split below: independently measured -4.4 combined</t>
  </si>
  <si>
    <t xml:space="preserve">Residential cohort solar/DER component</t>
  </si>
  <si>
    <t xml:space="preserve">Commercial defection</t>
  </si>
  <si>
    <t xml:space="preserve">RT70</t>
  </si>
  <si>
    <t xml:space="preserve">Windalco excluded, operational not defection</t>
  </si>
  <si>
    <t xml:space="preserve">Alcoa Minerals of Ja Ltd</t>
  </si>
  <si>
    <t xml:space="preserve">Self-generation, completed August 2026</t>
  </si>
  <si>
    <t xml:space="preserve">MBJ Airports Limited</t>
  </si>
  <si>
    <t xml:space="preserve">6MW PV commissioning end-2026</t>
  </si>
  <si>
    <t xml:space="preserve">PAC Kingston Airport</t>
  </si>
  <si>
    <t xml:space="preserve">4MW photovoltaic, effective Oct-Dec 2026</t>
  </si>
  <si>
    <t xml:space="preserve">Commercial load adjustment</t>
  </si>
  <si>
    <t xml:space="preserve">RT20 comm/RT40/50/60/70</t>
  </si>
  <si>
    <t xml:space="preserve">Plug to verified rate-class total</t>
  </si>
  <si>
    <t xml:space="preserve">Windalco</t>
  </si>
  <si>
    <t xml:space="preserve">Turbines offline for maintenance, operational event</t>
  </si>
  <si>
    <t xml:space="preserve">Everything else</t>
  </si>
  <si>
    <t xml:space="preserve">Remainder of the plug</t>
  </si>
  <si>
    <t xml:space="preserve">Normalised volumes</t>
  </si>
  <si>
    <t xml:space="preserve">RT20/40/50</t>
  </si>
  <si>
    <t xml:space="preserve">Anchored to 265.7 GWh Melissa-suppressed Nov2025-May2026 actuals. Not splittable by rate class in source data</t>
  </si>
  <si>
    <t xml:space="preserve">Total movement</t>
  </si>
  <si>
    <t xml:space="preserve">Ties to 3,298.4 -&gt; 3,439.6 GWh</t>
  </si>
  <si>
    <t xml:space="preserve">Note: total sums only the unindented parent driver rows (bold names in column A). Indented sub-driver rows are already included in their parent and are not separately summed.</t>
  </si>
  <si>
    <t xml:space="preserve">FY2027 to FY2028 Movement by Driver (+75.1 GWh)</t>
  </si>
  <si>
    <t xml:space="preserve">Net of four sub-drivers below</t>
  </si>
  <si>
    <t xml:space="preserve">Same connection rates as FY2027, larger base</t>
  </si>
  <si>
    <t xml:space="preserve">Prepaid grown 2.9%, unchanged</t>
  </si>
  <si>
    <t xml:space="preserve">Independently measured +47.2, hurricane-recovery growth decelerating</t>
  </si>
  <si>
    <t xml:space="preserve">Conservation, larger customer base</t>
  </si>
  <si>
    <t xml:space="preserve">Split below: independently measured +2.8 combined</t>
  </si>
  <si>
    <t xml:space="preserve">Split below: independently measured -9.0 combined</t>
  </si>
  <si>
    <t xml:space="preserve">RT20/40/70</t>
  </si>
  <si>
    <t xml:space="preserve">University Of Technology, confirmed defection; 2.95 of 3.0 in RT70</t>
  </si>
  <si>
    <t xml:space="preserve">Plug; RT50/40/60-ST/70/RT20comm partly offset, see Industry sheets</t>
  </si>
  <si>
    <t xml:space="preserve">Ties to 3,439.7 -&gt; 3,514.8 GWh</t>
  </si>
  <si>
    <t xml:space="preserve">RT50 Large Commercial — Movement by Industry</t>
  </si>
  <si>
    <t xml:space="preserve">GWh movement by industry (live-computed via engine chain, entities grouped by NAICS tag). Filtered to |movement| &gt;= 0.05 GWh, so totals below may run a few tenths short of the report headline figure (dropped entries are individually immaterial).</t>
  </si>
  <si>
    <t xml:space="preserve">FY2026 to FY2027 (+55.2 GWh)</t>
  </si>
  <si>
    <t xml:space="preserve">FY2027 to FY2028 (+32.6 GWh)</t>
  </si>
  <si>
    <t xml:space="preserve">Industry</t>
  </si>
  <si>
    <t xml:space="preserve">Hotels (except Casino Hotels) and Motels</t>
  </si>
  <si>
    <t xml:space="preserve">Poultry Hatcheries</t>
  </si>
  <si>
    <t xml:space="preserve">Cement Manufacturing</t>
  </si>
  <si>
    <t xml:space="preserve">(non-KAM pooled cohort)</t>
  </si>
  <si>
    <t xml:space="preserve">Full-Service Restaurants</t>
  </si>
  <si>
    <t xml:space="preserve">Hydroelectric Power Generation</t>
  </si>
  <si>
    <t xml:space="preserve">Other General Government Support</t>
  </si>
  <si>
    <t xml:space="preserve">Food Manufacturing</t>
  </si>
  <si>
    <t xml:space="preserve">Colleges, Universities, and Professional Schools</t>
  </si>
  <si>
    <t xml:space="preserve">Executive Offices</t>
  </si>
  <si>
    <t xml:space="preserve">Orange Groves</t>
  </si>
  <si>
    <t xml:space="preserve">Distilleries</t>
  </si>
  <si>
    <t xml:space="preserve">Cookie and Cracker Manufacturing</t>
  </si>
  <si>
    <t xml:space="preserve">Banking, Insurance and Investments</t>
  </si>
  <si>
    <t xml:space="preserve">Other Metal Ore Mining</t>
  </si>
  <si>
    <t xml:space="preserve">Manufacturing</t>
  </si>
  <si>
    <t xml:space="preserve">Fish and Seafood Merchant Wholesalers</t>
  </si>
  <si>
    <t xml:space="preserve">International Affairs</t>
  </si>
  <si>
    <t xml:space="preserve">Corporate, Subsidiary, and Regional Managing Offices</t>
  </si>
  <si>
    <t xml:space="preserve">Other Animal Food Manufacturing</t>
  </si>
  <si>
    <t xml:space="preserve">General Medical and Surgical Hospitals</t>
  </si>
  <si>
    <t xml:space="preserve">Residential Property Managers</t>
  </si>
  <si>
    <t xml:space="preserve">Water Supply and Irrigation Systems</t>
  </si>
  <si>
    <t xml:space="preserve">Dimension Stone Mining and Quarrying</t>
  </si>
  <si>
    <t xml:space="preserve">Meat and Meat Product Merchant Wholesalers</t>
  </si>
  <si>
    <t xml:space="preserve">Convention and Trade Show Organizers</t>
  </si>
  <si>
    <t xml:space="preserve">Petroleum Refineries</t>
  </si>
  <si>
    <t xml:space="preserve">Dairy Cattle and Milk Production</t>
  </si>
  <si>
    <t xml:space="preserve">Port and Harbor Operations</t>
  </si>
  <si>
    <t xml:space="preserve">Drugs and Druggists' Sundries Merchant Wholesalers</t>
  </si>
  <si>
    <t xml:space="preserve">Other Chemical and Allied Products Merchant Wholesalers</t>
  </si>
  <si>
    <t xml:space="preserve">Unlaminated Plastics Profile Shape Manufacturing</t>
  </si>
  <si>
    <t xml:space="preserve">Offices of Physicians (except Mental Health Specialists)</t>
  </si>
  <si>
    <t xml:space="preserve">Supermarkets and Other Grocery Retailers (except Convenience Retailers)</t>
  </si>
  <si>
    <t xml:space="preserve">Pharmacies and Drug Retailers</t>
  </si>
  <si>
    <t xml:space="preserve">All Other General Merchandise Retailers</t>
  </si>
  <si>
    <t xml:space="preserve">Newspaper Publishers</t>
  </si>
  <si>
    <t xml:space="preserve">Residential Building Construction</t>
  </si>
  <si>
    <t xml:space="preserve">Iron and Steel Mills and Ferroalloy Manufacturing</t>
  </si>
  <si>
    <t xml:space="preserve">Flour Milling</t>
  </si>
  <si>
    <t xml:space="preserve">Snack and Nonalcoholic Beverage Bars</t>
  </si>
  <si>
    <t xml:space="preserve">Pulp, Paper, and Paperboard Mills</t>
  </si>
  <si>
    <t xml:space="preserve">Other Airport Operations</t>
  </si>
  <si>
    <t xml:space="preserve">Fats and Oils Refining and Blending</t>
  </si>
  <si>
    <t xml:space="preserve">General Warehousing and Storage</t>
  </si>
  <si>
    <t xml:space="preserve">RT40 Commercial — Movement by Industry</t>
  </si>
  <si>
    <t xml:space="preserve">FY2026 to FY2027 (+66.2 GWh)</t>
  </si>
  <si>
    <t xml:space="preserve">FY2027 to FY2028 (-3.3 GWh)</t>
  </si>
  <si>
    <t xml:space="preserve">Retail</t>
  </si>
  <si>
    <t xml:space="preserve">Retail - Supermarket</t>
  </si>
  <si>
    <t xml:space="preserve">Restaurants</t>
  </si>
  <si>
    <t xml:space="preserve">Beverage Manufacturing</t>
  </si>
  <si>
    <t xml:space="preserve">Processing</t>
  </si>
  <si>
    <t xml:space="preserve">Air Traffic Control</t>
  </si>
  <si>
    <t xml:space="preserve">Courts</t>
  </si>
  <si>
    <t xml:space="preserve">(no industry tag)</t>
  </si>
  <si>
    <t xml:space="preserve">Drinking Places (Alcoholic Beverages)</t>
  </si>
  <si>
    <t xml:space="preserve">Business Support Services</t>
  </si>
  <si>
    <t xml:space="preserve">Limited-Service Restaurants</t>
  </si>
  <si>
    <t xml:space="preserve">Vocational Rehabilitation Services</t>
  </si>
  <si>
    <t xml:space="preserve">Plastics Bag and Pouch Manufacturing</t>
  </si>
  <si>
    <t xml:space="preserve">Household Appliances, Electric Housewares, and Consumer Electronics Merchant Wholesalers</t>
  </si>
  <si>
    <t xml:space="preserve">Ice Cream and Frozen Dessert Manufacturing</t>
  </si>
  <si>
    <t xml:space="preserve">General Line Grocery Merchant Wholesalers</t>
  </si>
  <si>
    <t xml:space="preserve">Wired and Wireless Telecommunications Carriers (except Satellite)</t>
  </si>
  <si>
    <t xml:space="preserve">Fruit and Vegetable Canning</t>
  </si>
  <si>
    <t xml:space="preserve">Finance and Insurance</t>
  </si>
  <si>
    <t xml:space="preserve">Other Noncitrus Fruit Farming</t>
  </si>
  <si>
    <t xml:space="preserve">Telemarketing Bureaus and Other Contact Centers</t>
  </si>
  <si>
    <t xml:space="preserve">Offices of Real Estate Agents and Brokers</t>
  </si>
  <si>
    <t xml:space="preserve">Beef Cattle Ranching and Farming</t>
  </si>
  <si>
    <t xml:space="preserve">Lessors of Nonresidential Buildings (except Miniwarehouses)</t>
  </si>
  <si>
    <t xml:space="preserve">Local Messengers and Local Delivery</t>
  </si>
  <si>
    <t xml:space="preserve">RT70 Industrial — Movement by Industry</t>
  </si>
  <si>
    <t xml:space="preserve">FY2026 to FY2027 (-72.0 GWh)</t>
  </si>
  <si>
    <t xml:space="preserve">FY2027 to FY2028 (-4.2 GWh)</t>
  </si>
  <si>
    <t xml:space="preserve">RT20 Commercial-only — Movement by Industry</t>
  </si>
  <si>
    <t xml:space="preserve">FY2026 to FY2027 (+4.8 GWh)</t>
  </si>
  <si>
    <t xml:space="preserve">FY2027 to FY2028 (-8.1 GWh)</t>
  </si>
  <si>
    <t xml:space="preserve">Commercial Defection — Named Account Detail</t>
  </si>
  <si>
    <t xml:space="preserve">Account</t>
  </si>
  <si>
    <t xml:space="preserve">Class</t>
  </si>
  <si>
    <t xml:space="preserve">Change</t>
  </si>
  <si>
    <t xml:space="preserve">Basis</t>
  </si>
  <si>
    <t xml:space="preserve">6MW PV commissioning by end-2026</t>
  </si>
  <si>
    <t xml:space="preserve">Total (3 managed accounts)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</si>
</sst>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;\(#,##0.0\);\-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B3D66"/>
      <name val="Arial"/>
      <family val="0"/>
      <charset val="1"/>
    </font>
    <font>
      <sz val="9"/>
      <color rgb="FF444444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3D66"/>
        <bgColor rgb="FF333399"/>
      </patternFill>
    </fill>
    <fill>
      <patternFill patternType="solid">
        <fgColor rgb="FFD9E2EC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3D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5</v>
      </c>
      <c r="G4" s="4" t="s">
        <v>7</v>
      </c>
      <c r="H4" s="4" t="s">
        <v>5</v>
      </c>
    </row>
    <row r="5" customFormat="false" ht="15" hidden="false" customHeight="false" outlineLevel="0" collapsed="false">
      <c r="A5" s="5" t="s">
        <v>8</v>
      </c>
      <c r="B5" s="6" t="n">
        <v>1157.3</v>
      </c>
      <c r="C5" s="6" t="n">
        <v>1222.8</v>
      </c>
      <c r="D5" s="7" t="n">
        <f aca="false">(C5-B5)/B5</f>
        <v>0.0565972522250065</v>
      </c>
      <c r="E5" s="6" t="n">
        <v>1275</v>
      </c>
      <c r="F5" s="7" t="n">
        <f aca="false">(E5-C5)/C5</f>
        <v>0.0426889106967616</v>
      </c>
      <c r="G5" s="6" t="n">
        <v>1309.3</v>
      </c>
      <c r="H5" s="7" t="n">
        <f aca="false">(G5-E5)/E5</f>
        <v>0.0269019607843137</v>
      </c>
    </row>
    <row r="6" customFormat="false" ht="15" hidden="false" customHeight="false" outlineLevel="0" collapsed="false">
      <c r="A6" s="5" t="s">
        <v>9</v>
      </c>
      <c r="B6" s="6" t="n">
        <v>627.3</v>
      </c>
      <c r="C6" s="6" t="n">
        <v>654.7</v>
      </c>
      <c r="D6" s="7" t="n">
        <f aca="false">(C6-B6)/B6</f>
        <v>0.0436792603220151</v>
      </c>
      <c r="E6" s="6" t="n">
        <v>691.6</v>
      </c>
      <c r="F6" s="7" t="n">
        <f aca="false">(E6-C6)/C6</f>
        <v>0.0563616923781884</v>
      </c>
      <c r="G6" s="6" t="n">
        <v>708.4</v>
      </c>
      <c r="H6" s="7" t="n">
        <f aca="false">(G6-E6)/E6</f>
        <v>0.0242914979757084</v>
      </c>
    </row>
    <row r="7" customFormat="false" ht="15" hidden="false" customHeight="false" outlineLevel="0" collapsed="false">
      <c r="A7" s="5" t="s">
        <v>10</v>
      </c>
      <c r="B7" s="6" t="n">
        <v>776.7</v>
      </c>
      <c r="C7" s="6" t="n">
        <v>772.3</v>
      </c>
      <c r="D7" s="7" t="n">
        <f aca="false">(C7-B7)/B7</f>
        <v>-0.00566499291875897</v>
      </c>
      <c r="E7" s="6" t="n">
        <v>838.6</v>
      </c>
      <c r="F7" s="7" t="n">
        <f aca="false">(E7-C7)/C7</f>
        <v>0.085847468600285</v>
      </c>
      <c r="G7" s="6" t="n">
        <v>835.3</v>
      </c>
      <c r="H7" s="7" t="n">
        <f aca="false">(G7-E7)/E7</f>
        <v>-0.00393512997853574</v>
      </c>
    </row>
    <row r="8" customFormat="false" ht="15" hidden="false" customHeight="false" outlineLevel="0" collapsed="false">
      <c r="A8" s="5" t="s">
        <v>11</v>
      </c>
      <c r="B8" s="6" t="n">
        <v>362.8</v>
      </c>
      <c r="C8" s="6" t="n">
        <v>345.6</v>
      </c>
      <c r="D8" s="7" t="n">
        <f aca="false">(C8-B8)/B8</f>
        <v>-0.0474090407938258</v>
      </c>
      <c r="E8" s="6" t="n">
        <v>400.8</v>
      </c>
      <c r="F8" s="7" t="n">
        <f aca="false">(E8-C8)/C8</f>
        <v>0.159722222222222</v>
      </c>
      <c r="G8" s="6" t="n">
        <v>433.4</v>
      </c>
      <c r="H8" s="7" t="n">
        <f aca="false">(G8-E8)/E8</f>
        <v>0.0813373253493013</v>
      </c>
    </row>
    <row r="9" customFormat="false" ht="15" hidden="false" customHeight="false" outlineLevel="0" collapsed="false">
      <c r="A9" s="5" t="s">
        <v>12</v>
      </c>
      <c r="B9" s="6" t="n">
        <v>38.6</v>
      </c>
      <c r="C9" s="6" t="n">
        <v>37.5</v>
      </c>
      <c r="D9" s="7" t="n">
        <f aca="false">(C9-B9)/B9</f>
        <v>-0.0284974093264249</v>
      </c>
      <c r="E9" s="6" t="n">
        <v>39.8</v>
      </c>
      <c r="F9" s="7" t="n">
        <f aca="false">(E9-C9)/C9</f>
        <v>0.0613333333333333</v>
      </c>
      <c r="G9" s="6" t="n">
        <v>38.8</v>
      </c>
      <c r="H9" s="7" t="n">
        <f aca="false">(G9-E9)/E9</f>
        <v>-0.0251256281407035</v>
      </c>
    </row>
    <row r="10" customFormat="false" ht="15" hidden="false" customHeight="false" outlineLevel="0" collapsed="false">
      <c r="A10" s="5" t="s">
        <v>13</v>
      </c>
      <c r="B10" s="6" t="n">
        <v>288.1</v>
      </c>
      <c r="C10" s="6" t="n">
        <v>265.6</v>
      </c>
      <c r="D10" s="7" t="n">
        <f aca="false">(C10-B10)/B10</f>
        <v>-0.0780978826796251</v>
      </c>
      <c r="E10" s="6" t="n">
        <v>193.7</v>
      </c>
      <c r="F10" s="7" t="n">
        <f aca="false">(E10-C10)/C10</f>
        <v>-0.270707831325301</v>
      </c>
      <c r="G10" s="6" t="n">
        <v>189.5</v>
      </c>
      <c r="H10" s="7" t="n">
        <f aca="false">(G10-E10)/E10</f>
        <v>-0.0216830149716055</v>
      </c>
    </row>
    <row r="11" customFormat="false" ht="15" hidden="false" customHeight="false" outlineLevel="0" collapsed="false">
      <c r="A11" s="8" t="s">
        <v>14</v>
      </c>
      <c r="B11" s="9" t="n">
        <f aca="false">SUM(B5:B10)</f>
        <v>3250.8</v>
      </c>
      <c r="C11" s="9" t="n">
        <f aca="false">SUM(C5:C10)</f>
        <v>3298.5</v>
      </c>
      <c r="D11" s="10" t="n">
        <f aca="false">(C11-B11)/B11</f>
        <v>0.014673311184939</v>
      </c>
      <c r="E11" s="9" t="n">
        <f aca="false">SUM(E5:E10)</f>
        <v>3439.5</v>
      </c>
      <c r="F11" s="10" t="n">
        <f aca="false">(E11-C11)/C11</f>
        <v>0.0427467030468395</v>
      </c>
      <c r="G11" s="9" t="n">
        <f aca="false">SUM(G5:G10)</f>
        <v>3514.7</v>
      </c>
      <c r="H11" s="10" t="n">
        <f aca="false">(G11-E11)/E11</f>
        <v>0.0218636429713621</v>
      </c>
    </row>
    <row r="13" customFormat="false" ht="15" hidden="false" customHeight="false" outlineLevel="0" collapsed="false">
      <c r="A13" s="11" t="s">
        <v>15</v>
      </c>
    </row>
    <row r="14" customFormat="false" ht="15" hidden="false" customHeight="false" outlineLevel="0" collapsed="false">
      <c r="A14" s="3"/>
      <c r="B14" s="4" t="s">
        <v>4</v>
      </c>
      <c r="C14" s="4" t="s">
        <v>6</v>
      </c>
      <c r="D14" s="4" t="s">
        <v>5</v>
      </c>
      <c r="E14" s="4" t="s">
        <v>7</v>
      </c>
      <c r="F14" s="4" t="s">
        <v>5</v>
      </c>
    </row>
    <row r="15" customFormat="false" ht="15" hidden="false" customHeight="false" outlineLevel="0" collapsed="false">
      <c r="A15" s="5" t="s">
        <v>16</v>
      </c>
      <c r="B15" s="6" t="n">
        <v>106.7</v>
      </c>
      <c r="C15" s="6" t="n">
        <v>104.5</v>
      </c>
      <c r="D15" s="7" t="n">
        <f aca="false">(C15-B15)/B15</f>
        <v>-0.020618556701031</v>
      </c>
      <c r="E15" s="6" t="n">
        <v>109.5</v>
      </c>
      <c r="F15" s="7" t="n">
        <f aca="false">(E15-C15)/C15</f>
        <v>0.0478468899521531</v>
      </c>
    </row>
    <row r="16" customFormat="false" ht="15" hidden="false" customHeight="false" outlineLevel="0" collapsed="false">
      <c r="A16" s="5" t="s">
        <v>17</v>
      </c>
      <c r="B16" s="6" t="n">
        <v>239.1</v>
      </c>
      <c r="C16" s="6" t="n">
        <v>296.8</v>
      </c>
      <c r="D16" s="7" t="n">
        <f aca="false">(C16-B16)/B16</f>
        <v>0.241321622751987</v>
      </c>
      <c r="E16" s="6" t="n">
        <v>324.4</v>
      </c>
      <c r="F16" s="7" t="n">
        <f aca="false">(E16-C16)/C16</f>
        <v>0.0929919137466306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18</v>
      </c>
    </row>
    <row r="3" customFormat="false" ht="18" hidden="false" customHeight="true" outlineLevel="0" collapsed="false">
      <c r="A3" s="3" t="s">
        <v>19</v>
      </c>
      <c r="B3" s="4" t="s">
        <v>20</v>
      </c>
      <c r="C3" s="4" t="s">
        <v>2</v>
      </c>
      <c r="D3" s="4" t="s">
        <v>21</v>
      </c>
      <c r="E3" s="4" t="s">
        <v>22</v>
      </c>
    </row>
    <row r="4" customFormat="false" ht="15" hidden="false" customHeight="false" outlineLevel="0" collapsed="false">
      <c r="A4" s="12" t="s">
        <v>23</v>
      </c>
      <c r="B4" s="12"/>
      <c r="C4" s="12" t="s">
        <v>24</v>
      </c>
      <c r="D4" s="13" t="n">
        <v>83.6</v>
      </c>
      <c r="E4" s="14" t="s">
        <v>25</v>
      </c>
    </row>
    <row r="5" customFormat="false" ht="15" hidden="false" customHeight="false" outlineLevel="0" collapsed="false">
      <c r="A5" s="15"/>
      <c r="B5" s="15" t="s">
        <v>26</v>
      </c>
      <c r="C5" s="12" t="s">
        <v>27</v>
      </c>
      <c r="D5" s="13" t="n">
        <v>13.8</v>
      </c>
      <c r="E5" s="14" t="s">
        <v>28</v>
      </c>
    </row>
    <row r="6" customFormat="false" ht="15" hidden="false" customHeight="false" outlineLevel="0" collapsed="false">
      <c r="A6" s="15"/>
      <c r="B6" s="15" t="s">
        <v>29</v>
      </c>
      <c r="C6" s="12" t="s">
        <v>27</v>
      </c>
      <c r="D6" s="13" t="n">
        <v>0.9</v>
      </c>
      <c r="E6" s="14" t="s">
        <v>30</v>
      </c>
    </row>
    <row r="7" customFormat="false" ht="15" hidden="false" customHeight="false" outlineLevel="0" collapsed="false">
      <c r="A7" s="15"/>
      <c r="B7" s="15" t="s">
        <v>31</v>
      </c>
      <c r="C7" s="12" t="s">
        <v>27</v>
      </c>
      <c r="D7" s="13" t="n">
        <v>81.7</v>
      </c>
      <c r="E7" s="14" t="s">
        <v>32</v>
      </c>
    </row>
    <row r="8" customFormat="false" ht="15" hidden="false" customHeight="false" outlineLevel="0" collapsed="false">
      <c r="A8" s="15"/>
      <c r="B8" s="15" t="s">
        <v>33</v>
      </c>
      <c r="C8" s="12" t="s">
        <v>27</v>
      </c>
      <c r="D8" s="13" t="n">
        <v>-12.8</v>
      </c>
      <c r="E8" s="14" t="s">
        <v>34</v>
      </c>
    </row>
    <row r="9" customFormat="false" ht="15" hidden="false" customHeight="false" outlineLevel="0" collapsed="false">
      <c r="A9" s="12" t="s">
        <v>35</v>
      </c>
      <c r="B9" s="12"/>
      <c r="C9" s="12" t="s">
        <v>27</v>
      </c>
      <c r="D9" s="13" t="n">
        <v>7.1</v>
      </c>
      <c r="E9" s="14" t="s">
        <v>36</v>
      </c>
    </row>
    <row r="10" customFormat="false" ht="15" hidden="false" customHeight="false" outlineLevel="0" collapsed="false">
      <c r="A10" s="15"/>
      <c r="B10" s="15" t="s">
        <v>37</v>
      </c>
      <c r="C10" s="12" t="s">
        <v>37</v>
      </c>
      <c r="D10" s="13" t="n">
        <v>4.6</v>
      </c>
      <c r="E10" s="14" t="s">
        <v>38</v>
      </c>
    </row>
    <row r="11" customFormat="false" ht="15" hidden="false" customHeight="false" outlineLevel="0" collapsed="false">
      <c r="A11" s="15"/>
      <c r="B11" s="15" t="s">
        <v>39</v>
      </c>
      <c r="C11" s="12" t="s">
        <v>40</v>
      </c>
      <c r="D11" s="13" t="n">
        <v>1.1</v>
      </c>
      <c r="E11" s="14" t="s">
        <v>38</v>
      </c>
    </row>
    <row r="12" customFormat="false" ht="15" hidden="false" customHeight="false" outlineLevel="0" collapsed="false">
      <c r="A12" s="12" t="s">
        <v>41</v>
      </c>
      <c r="B12" s="12"/>
      <c r="C12" s="12" t="s">
        <v>27</v>
      </c>
      <c r="D12" s="13" t="n">
        <v>-5.1</v>
      </c>
      <c r="E12" s="14" t="s">
        <v>42</v>
      </c>
    </row>
    <row r="13" customFormat="false" ht="15" hidden="false" customHeight="false" outlineLevel="0" collapsed="false">
      <c r="A13" s="15"/>
      <c r="B13" s="15" t="s">
        <v>37</v>
      </c>
      <c r="C13" s="12" t="s">
        <v>37</v>
      </c>
      <c r="D13" s="13" t="n">
        <v>-3.9</v>
      </c>
      <c r="E13" s="14" t="s">
        <v>43</v>
      </c>
    </row>
    <row r="14" customFormat="false" ht="15" hidden="false" customHeight="false" outlineLevel="0" collapsed="false">
      <c r="A14" s="15"/>
      <c r="B14" s="15" t="s">
        <v>39</v>
      </c>
      <c r="C14" s="12" t="s">
        <v>40</v>
      </c>
      <c r="D14" s="13" t="n">
        <v>-0.5</v>
      </c>
      <c r="E14" s="14" t="s">
        <v>43</v>
      </c>
    </row>
    <row r="15" customFormat="false" ht="15" hidden="false" customHeight="false" outlineLevel="0" collapsed="false">
      <c r="A15" s="12" t="s">
        <v>44</v>
      </c>
      <c r="B15" s="12"/>
      <c r="C15" s="12" t="s">
        <v>45</v>
      </c>
      <c r="D15" s="13" t="n">
        <v>-71.4</v>
      </c>
      <c r="E15" s="14" t="s">
        <v>46</v>
      </c>
    </row>
    <row r="16" customFormat="false" ht="15" hidden="false" customHeight="false" outlineLevel="0" collapsed="false">
      <c r="A16" s="15"/>
      <c r="B16" s="15" t="s">
        <v>47</v>
      </c>
      <c r="C16" s="12" t="s">
        <v>45</v>
      </c>
      <c r="D16" s="13" t="n">
        <v>-52.7</v>
      </c>
      <c r="E16" s="14" t="s">
        <v>48</v>
      </c>
    </row>
    <row r="17" customFormat="false" ht="15" hidden="false" customHeight="false" outlineLevel="0" collapsed="false">
      <c r="A17" s="15"/>
      <c r="B17" s="15" t="s">
        <v>49</v>
      </c>
      <c r="C17" s="12" t="s">
        <v>45</v>
      </c>
      <c r="D17" s="13" t="n">
        <v>-12.4</v>
      </c>
      <c r="E17" s="14" t="s">
        <v>50</v>
      </c>
    </row>
    <row r="18" customFormat="false" ht="15" hidden="false" customHeight="false" outlineLevel="0" collapsed="false">
      <c r="A18" s="15"/>
      <c r="B18" s="15" t="s">
        <v>51</v>
      </c>
      <c r="C18" s="12" t="s">
        <v>45</v>
      </c>
      <c r="D18" s="13" t="n">
        <v>-6.4</v>
      </c>
      <c r="E18" s="14" t="s">
        <v>52</v>
      </c>
    </row>
    <row r="19" customFormat="false" ht="15" hidden="false" customHeight="false" outlineLevel="0" collapsed="false">
      <c r="A19" s="12" t="s">
        <v>53</v>
      </c>
      <c r="B19" s="12"/>
      <c r="C19" s="12" t="s">
        <v>54</v>
      </c>
      <c r="D19" s="13" t="n">
        <v>-13.3</v>
      </c>
      <c r="E19" s="14" t="s">
        <v>55</v>
      </c>
    </row>
    <row r="20" customFormat="false" ht="15" hidden="false" customHeight="false" outlineLevel="0" collapsed="false">
      <c r="A20" s="15"/>
      <c r="B20" s="15" t="s">
        <v>56</v>
      </c>
      <c r="C20" s="12" t="s">
        <v>45</v>
      </c>
      <c r="D20" s="13" t="n">
        <v>-11.5</v>
      </c>
      <c r="E20" s="14" t="s">
        <v>57</v>
      </c>
    </row>
    <row r="21" customFormat="false" ht="15" hidden="false" customHeight="false" outlineLevel="0" collapsed="false">
      <c r="A21" s="15"/>
      <c r="B21" s="15" t="s">
        <v>58</v>
      </c>
      <c r="C21" s="12" t="s">
        <v>54</v>
      </c>
      <c r="D21" s="13" t="n">
        <v>-1.8</v>
      </c>
      <c r="E21" s="14" t="s">
        <v>59</v>
      </c>
    </row>
    <row r="22" customFormat="false" ht="21.65" hidden="false" customHeight="false" outlineLevel="0" collapsed="false">
      <c r="A22" s="12" t="s">
        <v>60</v>
      </c>
      <c r="B22" s="12"/>
      <c r="C22" s="12" t="s">
        <v>61</v>
      </c>
      <c r="D22" s="13" t="n">
        <v>140.3</v>
      </c>
      <c r="E22" s="14" t="s">
        <v>62</v>
      </c>
    </row>
    <row r="23" customFormat="false" ht="15" hidden="false" customHeight="false" outlineLevel="0" collapsed="false">
      <c r="A23" s="8" t="s">
        <v>63</v>
      </c>
      <c r="B23" s="16"/>
      <c r="C23" s="16"/>
      <c r="D23" s="9" t="n">
        <f aca="false">D4+D9+D12+D15+D19+D22</f>
        <v>141.2</v>
      </c>
      <c r="E23" s="17" t="s">
        <v>64</v>
      </c>
    </row>
    <row r="25" customFormat="false" ht="15" hidden="false" customHeight="false" outlineLevel="0" collapsed="false">
      <c r="A25" s="18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66</v>
      </c>
    </row>
    <row r="3" customFormat="false" ht="18" hidden="false" customHeight="true" outlineLevel="0" collapsed="false">
      <c r="A3" s="3" t="s">
        <v>19</v>
      </c>
      <c r="B3" s="4" t="s">
        <v>20</v>
      </c>
      <c r="C3" s="4" t="s">
        <v>2</v>
      </c>
      <c r="D3" s="4" t="s">
        <v>21</v>
      </c>
      <c r="E3" s="4" t="s">
        <v>22</v>
      </c>
    </row>
    <row r="4" customFormat="false" ht="15" hidden="false" customHeight="false" outlineLevel="0" collapsed="false">
      <c r="A4" s="12" t="s">
        <v>23</v>
      </c>
      <c r="B4" s="12"/>
      <c r="C4" s="12" t="s">
        <v>24</v>
      </c>
      <c r="D4" s="13" t="n">
        <v>68.8</v>
      </c>
      <c r="E4" s="14" t="s">
        <v>67</v>
      </c>
    </row>
    <row r="5" customFormat="false" ht="15" hidden="false" customHeight="false" outlineLevel="0" collapsed="false">
      <c r="A5" s="15"/>
      <c r="B5" s="15" t="s">
        <v>26</v>
      </c>
      <c r="C5" s="12" t="s">
        <v>27</v>
      </c>
      <c r="D5" s="13" t="n">
        <v>14.1</v>
      </c>
      <c r="E5" s="14" t="s">
        <v>68</v>
      </c>
    </row>
    <row r="6" customFormat="false" ht="15" hidden="false" customHeight="false" outlineLevel="0" collapsed="false">
      <c r="A6" s="15"/>
      <c r="B6" s="15" t="s">
        <v>29</v>
      </c>
      <c r="C6" s="12" t="s">
        <v>27</v>
      </c>
      <c r="D6" s="13" t="n">
        <v>0.7</v>
      </c>
      <c r="E6" s="14" t="s">
        <v>69</v>
      </c>
    </row>
    <row r="7" customFormat="false" ht="15" hidden="false" customHeight="false" outlineLevel="0" collapsed="false">
      <c r="A7" s="15"/>
      <c r="B7" s="15" t="s">
        <v>31</v>
      </c>
      <c r="C7" s="12" t="s">
        <v>27</v>
      </c>
      <c r="D7" s="13" t="n">
        <v>65.7</v>
      </c>
      <c r="E7" s="14" t="s">
        <v>70</v>
      </c>
    </row>
    <row r="8" customFormat="false" ht="15" hidden="false" customHeight="false" outlineLevel="0" collapsed="false">
      <c r="A8" s="15"/>
      <c r="B8" s="15" t="s">
        <v>33</v>
      </c>
      <c r="C8" s="12" t="s">
        <v>27</v>
      </c>
      <c r="D8" s="13" t="n">
        <v>-11.7</v>
      </c>
      <c r="E8" s="14" t="s">
        <v>71</v>
      </c>
    </row>
    <row r="9" customFormat="false" ht="15" hidden="false" customHeight="false" outlineLevel="0" collapsed="false">
      <c r="A9" s="12" t="s">
        <v>35</v>
      </c>
      <c r="B9" s="12"/>
      <c r="C9" s="12" t="s">
        <v>27</v>
      </c>
      <c r="D9" s="13" t="n">
        <v>3.5</v>
      </c>
      <c r="E9" s="14" t="s">
        <v>72</v>
      </c>
    </row>
    <row r="10" customFormat="false" ht="15" hidden="false" customHeight="false" outlineLevel="0" collapsed="false">
      <c r="A10" s="15"/>
      <c r="B10" s="15" t="s">
        <v>37</v>
      </c>
      <c r="C10" s="12" t="s">
        <v>37</v>
      </c>
      <c r="D10" s="13" t="n">
        <v>2.3</v>
      </c>
      <c r="E10" s="14" t="s">
        <v>38</v>
      </c>
    </row>
    <row r="11" customFormat="false" ht="15" hidden="false" customHeight="false" outlineLevel="0" collapsed="false">
      <c r="A11" s="15"/>
      <c r="B11" s="15" t="s">
        <v>39</v>
      </c>
      <c r="C11" s="12" t="s">
        <v>40</v>
      </c>
      <c r="D11" s="13" t="n">
        <v>0.6</v>
      </c>
      <c r="E11" s="14" t="s">
        <v>38</v>
      </c>
    </row>
    <row r="12" customFormat="false" ht="15" hidden="false" customHeight="false" outlineLevel="0" collapsed="false">
      <c r="A12" s="12" t="s">
        <v>41</v>
      </c>
      <c r="B12" s="12"/>
      <c r="C12" s="12" t="s">
        <v>27</v>
      </c>
      <c r="D12" s="13" t="n">
        <v>-10.3</v>
      </c>
      <c r="E12" s="14" t="s">
        <v>73</v>
      </c>
    </row>
    <row r="13" customFormat="false" ht="15" hidden="false" customHeight="false" outlineLevel="0" collapsed="false">
      <c r="A13" s="15"/>
      <c r="B13" s="15" t="s">
        <v>37</v>
      </c>
      <c r="C13" s="12" t="s">
        <v>37</v>
      </c>
      <c r="D13" s="13" t="n">
        <v>-7.9</v>
      </c>
      <c r="E13" s="14" t="s">
        <v>43</v>
      </c>
    </row>
    <row r="14" customFormat="false" ht="15" hidden="false" customHeight="false" outlineLevel="0" collapsed="false">
      <c r="A14" s="15"/>
      <c r="B14" s="15" t="s">
        <v>39</v>
      </c>
      <c r="C14" s="12" t="s">
        <v>40</v>
      </c>
      <c r="D14" s="13" t="n">
        <v>-1.1</v>
      </c>
      <c r="E14" s="14" t="s">
        <v>43</v>
      </c>
    </row>
    <row r="15" customFormat="false" ht="15" hidden="false" customHeight="false" outlineLevel="0" collapsed="false">
      <c r="A15" s="12" t="s">
        <v>44</v>
      </c>
      <c r="B15" s="12"/>
      <c r="C15" s="12" t="s">
        <v>74</v>
      </c>
      <c r="D15" s="13" t="n">
        <v>-3</v>
      </c>
      <c r="E15" s="14" t="s">
        <v>75</v>
      </c>
    </row>
    <row r="16" customFormat="false" ht="15" hidden="false" customHeight="false" outlineLevel="0" collapsed="false">
      <c r="A16" s="12" t="s">
        <v>53</v>
      </c>
      <c r="B16" s="12"/>
      <c r="C16" s="12" t="s">
        <v>54</v>
      </c>
      <c r="D16" s="13" t="n">
        <v>16.1</v>
      </c>
      <c r="E16" s="14" t="s">
        <v>76</v>
      </c>
    </row>
    <row r="17" customFormat="false" ht="15" hidden="false" customHeight="false" outlineLevel="0" collapsed="false">
      <c r="A17" s="8" t="s">
        <v>63</v>
      </c>
      <c r="B17" s="16"/>
      <c r="C17" s="16"/>
      <c r="D17" s="9" t="n">
        <f aca="false">D4+D9+D12+D15+D16</f>
        <v>75.1</v>
      </c>
      <c r="E17" s="17" t="s">
        <v>77</v>
      </c>
    </row>
    <row r="19" customFormat="false" ht="15" hidden="false" customHeight="false" outlineLevel="0" collapsed="false">
      <c r="A19" s="18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3" min="3" style="0" width="3"/>
    <col collapsed="false" customWidth="true" hidden="false" outlineLevel="0" max="4" min="4" style="0" width="50"/>
    <col collapsed="false" customWidth="true" hidden="false" outlineLevel="0" max="5" min="5" style="0" width="11"/>
  </cols>
  <sheetData>
    <row r="1" customFormat="false" ht="1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A4" s="11" t="s">
        <v>80</v>
      </c>
      <c r="D4" s="11" t="s">
        <v>81</v>
      </c>
    </row>
    <row r="5" customFormat="false" ht="15" hidden="false" customHeight="false" outlineLevel="0" collapsed="false">
      <c r="A5" s="19" t="s">
        <v>82</v>
      </c>
      <c r="B5" s="19" t="s">
        <v>21</v>
      </c>
      <c r="D5" s="19" t="s">
        <v>82</v>
      </c>
      <c r="E5" s="19" t="s">
        <v>21</v>
      </c>
    </row>
    <row r="6" customFormat="false" ht="15" hidden="false" customHeight="false" outlineLevel="0" collapsed="false">
      <c r="A6" s="5" t="s">
        <v>83</v>
      </c>
      <c r="B6" s="6" t="n">
        <v>16.994</v>
      </c>
      <c r="D6" s="5" t="s">
        <v>83</v>
      </c>
      <c r="E6" s="6" t="n">
        <v>5.135</v>
      </c>
    </row>
    <row r="7" customFormat="false" ht="15" hidden="false" customHeight="false" outlineLevel="0" collapsed="false">
      <c r="A7" s="5" t="s">
        <v>84</v>
      </c>
      <c r="B7" s="6" t="n">
        <v>4.665</v>
      </c>
      <c r="D7" s="5" t="s">
        <v>85</v>
      </c>
      <c r="E7" s="6" t="n">
        <v>5.011</v>
      </c>
    </row>
    <row r="8" customFormat="false" ht="15" hidden="false" customHeight="false" outlineLevel="0" collapsed="false">
      <c r="A8" s="5" t="s">
        <v>86</v>
      </c>
      <c r="B8" s="6" t="n">
        <v>4.496</v>
      </c>
      <c r="D8" s="5" t="s">
        <v>84</v>
      </c>
      <c r="E8" s="6" t="n">
        <v>4.295</v>
      </c>
    </row>
    <row r="9" customFormat="false" ht="15" hidden="false" customHeight="false" outlineLevel="0" collapsed="false">
      <c r="A9" s="5" t="s">
        <v>87</v>
      </c>
      <c r="B9" s="6" t="n">
        <v>3.681</v>
      </c>
      <c r="D9" s="5" t="s">
        <v>86</v>
      </c>
      <c r="E9" s="6" t="n">
        <v>2.33</v>
      </c>
    </row>
    <row r="10" customFormat="false" ht="15" hidden="false" customHeight="false" outlineLevel="0" collapsed="false">
      <c r="A10" s="5" t="s">
        <v>88</v>
      </c>
      <c r="B10" s="6" t="n">
        <v>3.238</v>
      </c>
      <c r="D10" s="5" t="s">
        <v>87</v>
      </c>
      <c r="E10" s="6" t="n">
        <v>1.839</v>
      </c>
    </row>
    <row r="11" customFormat="false" ht="15" hidden="false" customHeight="false" outlineLevel="0" collapsed="false">
      <c r="A11" s="5" t="s">
        <v>89</v>
      </c>
      <c r="B11" s="6" t="n">
        <v>2.657</v>
      </c>
      <c r="D11" s="5" t="s">
        <v>90</v>
      </c>
      <c r="E11" s="6" t="n">
        <v>1.475</v>
      </c>
    </row>
    <row r="12" customFormat="false" ht="15" hidden="false" customHeight="false" outlineLevel="0" collapsed="false">
      <c r="A12" s="5" t="s">
        <v>90</v>
      </c>
      <c r="B12" s="6" t="n">
        <v>2.443</v>
      </c>
      <c r="D12" s="5" t="s">
        <v>91</v>
      </c>
      <c r="E12" s="6" t="n">
        <v>1.043</v>
      </c>
    </row>
    <row r="13" customFormat="false" ht="15" hidden="false" customHeight="false" outlineLevel="0" collapsed="false">
      <c r="A13" s="5" t="s">
        <v>92</v>
      </c>
      <c r="B13" s="6" t="n">
        <v>1.818</v>
      </c>
      <c r="D13" s="5" t="s">
        <v>89</v>
      </c>
      <c r="E13" s="6" t="n">
        <v>1.011</v>
      </c>
    </row>
    <row r="14" customFormat="false" ht="15" hidden="false" customHeight="false" outlineLevel="0" collapsed="false">
      <c r="A14" s="5" t="s">
        <v>93</v>
      </c>
      <c r="B14" s="6" t="n">
        <v>1.794</v>
      </c>
      <c r="D14" s="5" t="s">
        <v>93</v>
      </c>
      <c r="E14" s="6" t="n">
        <v>0.956</v>
      </c>
    </row>
    <row r="15" customFormat="false" ht="15" hidden="false" customHeight="false" outlineLevel="0" collapsed="false">
      <c r="A15" s="5" t="s">
        <v>94</v>
      </c>
      <c r="B15" s="6" t="n">
        <v>1.68</v>
      </c>
      <c r="D15" s="5" t="s">
        <v>95</v>
      </c>
      <c r="E15" s="6" t="n">
        <v>0.861</v>
      </c>
    </row>
    <row r="16" customFormat="false" ht="15" hidden="false" customHeight="false" outlineLevel="0" collapsed="false">
      <c r="A16" s="5" t="s">
        <v>95</v>
      </c>
      <c r="B16" s="6" t="n">
        <v>1.537</v>
      </c>
      <c r="D16" s="5" t="s">
        <v>96</v>
      </c>
      <c r="E16" s="6" t="n">
        <v>0.814</v>
      </c>
    </row>
    <row r="17" customFormat="false" ht="15" hidden="false" customHeight="false" outlineLevel="0" collapsed="false">
      <c r="A17" s="5" t="s">
        <v>97</v>
      </c>
      <c r="B17" s="6" t="n">
        <v>1.336</v>
      </c>
      <c r="D17" s="5" t="s">
        <v>94</v>
      </c>
      <c r="E17" s="6" t="n">
        <v>0.683</v>
      </c>
    </row>
    <row r="18" customFormat="false" ht="15" hidden="false" customHeight="false" outlineLevel="0" collapsed="false">
      <c r="A18" s="5" t="s">
        <v>98</v>
      </c>
      <c r="B18" s="6" t="n">
        <v>1.249</v>
      </c>
      <c r="D18" s="5" t="s">
        <v>99</v>
      </c>
      <c r="E18" s="6" t="n">
        <v>0.624</v>
      </c>
    </row>
    <row r="19" customFormat="false" ht="15" hidden="false" customHeight="false" outlineLevel="0" collapsed="false">
      <c r="A19" s="5" t="s">
        <v>100</v>
      </c>
      <c r="B19" s="6" t="n">
        <v>1.178</v>
      </c>
      <c r="D19" s="5" t="s">
        <v>88</v>
      </c>
      <c r="E19" s="6" t="n">
        <v>0.61</v>
      </c>
    </row>
    <row r="20" customFormat="false" ht="15" hidden="false" customHeight="false" outlineLevel="0" collapsed="false">
      <c r="A20" s="5" t="s">
        <v>101</v>
      </c>
      <c r="B20" s="6" t="n">
        <v>1.043</v>
      </c>
      <c r="D20" s="5" t="s">
        <v>97</v>
      </c>
      <c r="E20" s="6" t="n">
        <v>0.599</v>
      </c>
    </row>
    <row r="21" customFormat="false" ht="15" hidden="false" customHeight="false" outlineLevel="0" collapsed="false">
      <c r="A21" s="5" t="s">
        <v>96</v>
      </c>
      <c r="B21" s="6" t="n">
        <v>0.998</v>
      </c>
      <c r="D21" s="5" t="s">
        <v>102</v>
      </c>
      <c r="E21" s="6" t="n">
        <v>0.549</v>
      </c>
    </row>
    <row r="22" customFormat="false" ht="15" hidden="false" customHeight="false" outlineLevel="0" collapsed="false">
      <c r="A22" s="5" t="s">
        <v>91</v>
      </c>
      <c r="B22" s="6" t="n">
        <v>0.939</v>
      </c>
      <c r="D22" s="5" t="s">
        <v>101</v>
      </c>
      <c r="E22" s="6" t="n">
        <v>0.539</v>
      </c>
    </row>
    <row r="23" customFormat="false" ht="15" hidden="false" customHeight="false" outlineLevel="0" collapsed="false">
      <c r="A23" s="5" t="s">
        <v>103</v>
      </c>
      <c r="B23" s="6" t="n">
        <v>0.921</v>
      </c>
      <c r="D23" s="5" t="s">
        <v>100</v>
      </c>
      <c r="E23" s="6" t="n">
        <v>0.52</v>
      </c>
    </row>
    <row r="24" customFormat="false" ht="15" hidden="false" customHeight="false" outlineLevel="0" collapsed="false">
      <c r="A24" s="5" t="s">
        <v>104</v>
      </c>
      <c r="B24" s="6" t="n">
        <v>0.801</v>
      </c>
      <c r="D24" s="5" t="s">
        <v>92</v>
      </c>
      <c r="E24" s="6" t="n">
        <v>0.412</v>
      </c>
    </row>
    <row r="25" customFormat="false" ht="15" hidden="false" customHeight="false" outlineLevel="0" collapsed="false">
      <c r="A25" s="5" t="s">
        <v>105</v>
      </c>
      <c r="B25" s="6" t="n">
        <v>0.677</v>
      </c>
      <c r="D25" s="5" t="s">
        <v>104</v>
      </c>
      <c r="E25" s="6" t="n">
        <v>0.392</v>
      </c>
    </row>
    <row r="26" customFormat="false" ht="15" hidden="false" customHeight="false" outlineLevel="0" collapsed="false">
      <c r="A26" s="5" t="s">
        <v>102</v>
      </c>
      <c r="B26" s="6" t="n">
        <v>0.665</v>
      </c>
      <c r="D26" s="5" t="s">
        <v>98</v>
      </c>
      <c r="E26" s="6" t="n">
        <v>0.34</v>
      </c>
    </row>
    <row r="27" customFormat="false" ht="15" hidden="false" customHeight="false" outlineLevel="0" collapsed="false">
      <c r="A27" s="5" t="s">
        <v>106</v>
      </c>
      <c r="B27" s="6" t="n">
        <v>0.526</v>
      </c>
      <c r="D27" s="5" t="s">
        <v>105</v>
      </c>
      <c r="E27" s="6" t="n">
        <v>0.338</v>
      </c>
    </row>
    <row r="28" customFormat="false" ht="15" hidden="false" customHeight="false" outlineLevel="0" collapsed="false">
      <c r="A28" s="5" t="s">
        <v>99</v>
      </c>
      <c r="B28" s="6" t="n">
        <v>0.463</v>
      </c>
      <c r="D28" s="5" t="s">
        <v>107</v>
      </c>
      <c r="E28" s="6" t="n">
        <v>0.324</v>
      </c>
    </row>
    <row r="29" customFormat="false" ht="15" hidden="false" customHeight="false" outlineLevel="0" collapsed="false">
      <c r="A29" s="5" t="s">
        <v>108</v>
      </c>
      <c r="B29" s="6" t="n">
        <v>0.451</v>
      </c>
      <c r="D29" s="5" t="s">
        <v>103</v>
      </c>
      <c r="E29" s="6" t="n">
        <v>0.308</v>
      </c>
    </row>
    <row r="30" customFormat="false" ht="15" hidden="false" customHeight="false" outlineLevel="0" collapsed="false">
      <c r="A30" s="5" t="s">
        <v>109</v>
      </c>
      <c r="B30" s="6" t="n">
        <v>0.412</v>
      </c>
      <c r="D30" s="5" t="s">
        <v>109</v>
      </c>
      <c r="E30" s="6" t="n">
        <v>0.297</v>
      </c>
    </row>
    <row r="31" customFormat="false" ht="15" hidden="false" customHeight="false" outlineLevel="0" collapsed="false">
      <c r="A31" s="5" t="s">
        <v>110</v>
      </c>
      <c r="B31" s="6" t="n">
        <v>0.396</v>
      </c>
      <c r="D31" s="5" t="s">
        <v>106</v>
      </c>
      <c r="E31" s="6" t="n">
        <v>0.23</v>
      </c>
    </row>
    <row r="32" customFormat="false" ht="15" hidden="false" customHeight="false" outlineLevel="0" collapsed="false">
      <c r="A32" s="5" t="s">
        <v>111</v>
      </c>
      <c r="B32" s="6" t="n">
        <v>0.364</v>
      </c>
      <c r="D32" s="5" t="s">
        <v>108</v>
      </c>
      <c r="E32" s="6" t="n">
        <v>0.166</v>
      </c>
    </row>
    <row r="33" customFormat="false" ht="15" hidden="false" customHeight="false" outlineLevel="0" collapsed="false">
      <c r="A33" s="5" t="s">
        <v>112</v>
      </c>
      <c r="B33" s="6" t="n">
        <v>0.298</v>
      </c>
      <c r="D33" s="5" t="s">
        <v>111</v>
      </c>
      <c r="E33" s="6" t="n">
        <v>0.156</v>
      </c>
    </row>
    <row r="34" customFormat="false" ht="15" hidden="false" customHeight="false" outlineLevel="0" collapsed="false">
      <c r="A34" s="5" t="s">
        <v>113</v>
      </c>
      <c r="B34" s="6" t="n">
        <v>0.212</v>
      </c>
      <c r="D34" s="5" t="s">
        <v>114</v>
      </c>
      <c r="E34" s="6" t="n">
        <v>0.127</v>
      </c>
    </row>
    <row r="35" customFormat="false" ht="15" hidden="false" customHeight="false" outlineLevel="0" collapsed="false">
      <c r="A35" s="5" t="s">
        <v>115</v>
      </c>
      <c r="B35" s="6" t="n">
        <v>0.192</v>
      </c>
      <c r="D35" s="5" t="s">
        <v>113</v>
      </c>
      <c r="E35" s="6" t="n">
        <v>0.119</v>
      </c>
    </row>
    <row r="36" customFormat="false" ht="15" hidden="false" customHeight="false" outlineLevel="0" collapsed="false">
      <c r="A36" s="5" t="s">
        <v>114</v>
      </c>
      <c r="B36" s="6" t="n">
        <v>0.168</v>
      </c>
      <c r="D36" s="5" t="s">
        <v>112</v>
      </c>
      <c r="E36" s="6" t="n">
        <v>0.109</v>
      </c>
    </row>
    <row r="37" customFormat="false" ht="15" hidden="false" customHeight="false" outlineLevel="0" collapsed="false">
      <c r="A37" s="5" t="s">
        <v>116</v>
      </c>
      <c r="B37" s="6" t="n">
        <v>0.098</v>
      </c>
      <c r="D37" s="5" t="s">
        <v>110</v>
      </c>
      <c r="E37" s="6" t="n">
        <v>0.106</v>
      </c>
    </row>
    <row r="38" customFormat="false" ht="15" hidden="false" customHeight="false" outlineLevel="0" collapsed="false">
      <c r="A38" s="5" t="s">
        <v>117</v>
      </c>
      <c r="B38" s="6" t="n">
        <v>0.095</v>
      </c>
      <c r="D38" s="5" t="s">
        <v>115</v>
      </c>
      <c r="E38" s="6" t="n">
        <v>0.078</v>
      </c>
    </row>
    <row r="39" customFormat="false" ht="15" hidden="false" customHeight="false" outlineLevel="0" collapsed="false">
      <c r="A39" s="5" t="s">
        <v>118</v>
      </c>
      <c r="B39" s="6" t="n">
        <v>0.089</v>
      </c>
      <c r="D39" s="5" t="s">
        <v>119</v>
      </c>
      <c r="E39" s="6" t="n">
        <v>0.051</v>
      </c>
    </row>
    <row r="40" customFormat="false" ht="15" hidden="false" customHeight="false" outlineLevel="0" collapsed="false">
      <c r="A40" s="5" t="s">
        <v>120</v>
      </c>
      <c r="B40" s="6" t="n">
        <v>0.058</v>
      </c>
      <c r="D40" s="20" t="s">
        <v>14</v>
      </c>
      <c r="E40" s="21" t="n">
        <f aca="false">SUM(E6:E39)</f>
        <v>32.447</v>
      </c>
    </row>
    <row r="41" customFormat="false" ht="15" hidden="false" customHeight="false" outlineLevel="0" collapsed="false">
      <c r="A41" s="5" t="s">
        <v>121</v>
      </c>
      <c r="B41" s="6" t="n">
        <v>0.026</v>
      </c>
    </row>
    <row r="42" customFormat="false" ht="15" hidden="false" customHeight="false" outlineLevel="0" collapsed="false">
      <c r="A42" s="5" t="s">
        <v>122</v>
      </c>
      <c r="B42" s="6" t="n">
        <v>0.006</v>
      </c>
    </row>
    <row r="43" customFormat="false" ht="15" hidden="false" customHeight="false" outlineLevel="0" collapsed="false">
      <c r="A43" s="5" t="s">
        <v>123</v>
      </c>
      <c r="B43" s="6" t="n">
        <v>0</v>
      </c>
    </row>
    <row r="44" customFormat="false" ht="15" hidden="false" customHeight="false" outlineLevel="0" collapsed="false">
      <c r="A44" s="5" t="s">
        <v>124</v>
      </c>
      <c r="B44" s="6" t="n">
        <v>0</v>
      </c>
    </row>
    <row r="45" customFormat="false" ht="15" hidden="false" customHeight="false" outlineLevel="0" collapsed="false">
      <c r="A45" s="5" t="s">
        <v>125</v>
      </c>
      <c r="B45" s="6" t="n">
        <v>-0.003</v>
      </c>
    </row>
    <row r="46" customFormat="false" ht="15" hidden="false" customHeight="false" outlineLevel="0" collapsed="false">
      <c r="A46" s="5" t="s">
        <v>126</v>
      </c>
      <c r="B46" s="6" t="n">
        <v>-0.09</v>
      </c>
    </row>
    <row r="47" customFormat="false" ht="15" hidden="false" customHeight="false" outlineLevel="0" collapsed="false">
      <c r="A47" s="5" t="s">
        <v>119</v>
      </c>
      <c r="B47" s="6" t="n">
        <v>-0.248</v>
      </c>
    </row>
    <row r="48" customFormat="false" ht="15" hidden="false" customHeight="false" outlineLevel="0" collapsed="false">
      <c r="A48" s="5" t="s">
        <v>127</v>
      </c>
      <c r="B48" s="6" t="n">
        <v>-0.314</v>
      </c>
    </row>
    <row r="49" customFormat="false" ht="15" hidden="false" customHeight="false" outlineLevel="0" collapsed="false">
      <c r="A49" s="5" t="s">
        <v>107</v>
      </c>
      <c r="B49" s="6" t="n">
        <v>-0.602</v>
      </c>
    </row>
    <row r="50" customFormat="false" ht="15" hidden="false" customHeight="false" outlineLevel="0" collapsed="false">
      <c r="A50" s="5" t="s">
        <v>85</v>
      </c>
      <c r="B50" s="6" t="n">
        <v>-2.187</v>
      </c>
    </row>
    <row r="51" customFormat="false" ht="15" hidden="false" customHeight="false" outlineLevel="0" collapsed="false">
      <c r="A51" s="20" t="s">
        <v>14</v>
      </c>
      <c r="B51" s="21" t="n">
        <f aca="false">SUM(B6:B50)</f>
        <v>55.22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3" min="3" style="0" width="3"/>
    <col collapsed="false" customWidth="true" hidden="false" outlineLevel="0" max="4" min="4" style="0" width="50"/>
    <col collapsed="false" customWidth="true" hidden="false" outlineLevel="0" max="5" min="5" style="0" width="11"/>
  </cols>
  <sheetData>
    <row r="1" customFormat="false" ht="1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A4" s="11" t="s">
        <v>129</v>
      </c>
      <c r="D4" s="11" t="s">
        <v>130</v>
      </c>
    </row>
    <row r="5" customFormat="false" ht="15" hidden="false" customHeight="false" outlineLevel="0" collapsed="false">
      <c r="A5" s="19" t="s">
        <v>82</v>
      </c>
      <c r="B5" s="19" t="s">
        <v>21</v>
      </c>
      <c r="D5" s="19" t="s">
        <v>82</v>
      </c>
      <c r="E5" s="19" t="s">
        <v>21</v>
      </c>
    </row>
    <row r="6" customFormat="false" ht="15" hidden="false" customHeight="false" outlineLevel="0" collapsed="false">
      <c r="A6" s="5" t="s">
        <v>105</v>
      </c>
      <c r="B6" s="6" t="n">
        <v>17.546</v>
      </c>
      <c r="D6" s="5" t="s">
        <v>84</v>
      </c>
      <c r="E6" s="6" t="n">
        <v>3.074</v>
      </c>
    </row>
    <row r="7" customFormat="false" ht="15" hidden="false" customHeight="false" outlineLevel="0" collapsed="false">
      <c r="A7" s="5" t="s">
        <v>86</v>
      </c>
      <c r="B7" s="6" t="n">
        <v>13.44</v>
      </c>
      <c r="D7" s="5" t="s">
        <v>96</v>
      </c>
      <c r="E7" s="6" t="n">
        <v>2.902</v>
      </c>
    </row>
    <row r="8" customFormat="false" ht="15" hidden="false" customHeight="false" outlineLevel="0" collapsed="false">
      <c r="A8" s="5" t="s">
        <v>131</v>
      </c>
      <c r="B8" s="6" t="n">
        <v>5.799</v>
      </c>
      <c r="D8" s="5" t="s">
        <v>87</v>
      </c>
      <c r="E8" s="6" t="n">
        <v>2.59</v>
      </c>
    </row>
    <row r="9" customFormat="false" ht="15" hidden="false" customHeight="false" outlineLevel="0" collapsed="false">
      <c r="A9" s="5" t="s">
        <v>84</v>
      </c>
      <c r="B9" s="6" t="n">
        <v>5.508</v>
      </c>
      <c r="D9" s="5" t="s">
        <v>132</v>
      </c>
      <c r="E9" s="6" t="n">
        <v>1.533</v>
      </c>
    </row>
    <row r="10" customFormat="false" ht="15" hidden="false" customHeight="false" outlineLevel="0" collapsed="false">
      <c r="A10" s="5" t="s">
        <v>87</v>
      </c>
      <c r="B10" s="6" t="n">
        <v>5.477</v>
      </c>
      <c r="D10" s="5" t="s">
        <v>103</v>
      </c>
      <c r="E10" s="6" t="n">
        <v>0.591</v>
      </c>
    </row>
    <row r="11" customFormat="false" ht="15" hidden="false" customHeight="false" outlineLevel="0" collapsed="false">
      <c r="A11" s="5" t="s">
        <v>96</v>
      </c>
      <c r="B11" s="6" t="n">
        <v>5.283</v>
      </c>
      <c r="D11" s="5" t="s">
        <v>133</v>
      </c>
      <c r="E11" s="6" t="n">
        <v>0.495</v>
      </c>
    </row>
    <row r="12" customFormat="false" ht="15" hidden="false" customHeight="false" outlineLevel="0" collapsed="false">
      <c r="A12" s="5" t="s">
        <v>103</v>
      </c>
      <c r="B12" s="6" t="n">
        <v>2.808</v>
      </c>
      <c r="D12" s="5" t="s">
        <v>131</v>
      </c>
      <c r="E12" s="6" t="n">
        <v>0.273</v>
      </c>
    </row>
    <row r="13" customFormat="false" ht="15" hidden="false" customHeight="false" outlineLevel="0" collapsed="false">
      <c r="A13" s="5" t="s">
        <v>83</v>
      </c>
      <c r="B13" s="6" t="n">
        <v>2.487</v>
      </c>
      <c r="D13" s="5" t="s">
        <v>134</v>
      </c>
      <c r="E13" s="6" t="n">
        <v>0.256</v>
      </c>
    </row>
    <row r="14" customFormat="false" ht="15" hidden="false" customHeight="false" outlineLevel="0" collapsed="false">
      <c r="A14" s="5" t="s">
        <v>135</v>
      </c>
      <c r="B14" s="6" t="n">
        <v>1.584</v>
      </c>
      <c r="D14" s="5" t="s">
        <v>136</v>
      </c>
      <c r="E14" s="6" t="n">
        <v>0.064</v>
      </c>
    </row>
    <row r="15" customFormat="false" ht="15" hidden="false" customHeight="false" outlineLevel="0" collapsed="false">
      <c r="A15" s="5" t="s">
        <v>116</v>
      </c>
      <c r="B15" s="6" t="n">
        <v>1.415</v>
      </c>
      <c r="D15" s="5" t="s">
        <v>109</v>
      </c>
      <c r="E15" s="6" t="n">
        <v>0.063</v>
      </c>
    </row>
    <row r="16" customFormat="false" ht="15" hidden="false" customHeight="false" outlineLevel="0" collapsed="false">
      <c r="A16" s="5" t="s">
        <v>137</v>
      </c>
      <c r="B16" s="6" t="n">
        <v>1.112</v>
      </c>
      <c r="D16" s="5" t="s">
        <v>112</v>
      </c>
      <c r="E16" s="6" t="n">
        <v>-0.05</v>
      </c>
    </row>
    <row r="17" customFormat="false" ht="15" hidden="false" customHeight="false" outlineLevel="0" collapsed="false">
      <c r="A17" s="5" t="s">
        <v>138</v>
      </c>
      <c r="B17" s="6" t="n">
        <v>0.815</v>
      </c>
      <c r="D17" s="5" t="s">
        <v>139</v>
      </c>
      <c r="E17" s="6" t="n">
        <v>-0.053</v>
      </c>
    </row>
    <row r="18" customFormat="false" ht="15" hidden="false" customHeight="false" outlineLevel="0" collapsed="false">
      <c r="A18" s="5" t="s">
        <v>133</v>
      </c>
      <c r="B18" s="6" t="n">
        <v>0.7</v>
      </c>
      <c r="D18" s="5" t="s">
        <v>140</v>
      </c>
      <c r="E18" s="6" t="n">
        <v>-0.063</v>
      </c>
    </row>
    <row r="19" customFormat="false" ht="15" hidden="false" customHeight="false" outlineLevel="0" collapsed="false">
      <c r="A19" s="5" t="s">
        <v>92</v>
      </c>
      <c r="B19" s="6" t="n">
        <v>0.662</v>
      </c>
      <c r="D19" s="5" t="s">
        <v>101</v>
      </c>
      <c r="E19" s="6" t="n">
        <v>-0.065</v>
      </c>
    </row>
    <row r="20" customFormat="false" ht="15" hidden="false" customHeight="false" outlineLevel="0" collapsed="false">
      <c r="A20" s="5" t="s">
        <v>90</v>
      </c>
      <c r="B20" s="6" t="n">
        <v>0.598</v>
      </c>
      <c r="D20" s="5" t="s">
        <v>123</v>
      </c>
      <c r="E20" s="6" t="n">
        <v>-0.07</v>
      </c>
    </row>
    <row r="21" customFormat="false" ht="15" hidden="false" customHeight="false" outlineLevel="0" collapsed="false">
      <c r="A21" s="5" t="s">
        <v>141</v>
      </c>
      <c r="B21" s="6" t="n">
        <v>0.41</v>
      </c>
      <c r="D21" s="5" t="s">
        <v>94</v>
      </c>
      <c r="E21" s="6" t="n">
        <v>-0.072</v>
      </c>
    </row>
    <row r="22" customFormat="false" ht="15" hidden="false" customHeight="false" outlineLevel="0" collapsed="false">
      <c r="A22" s="5" t="s">
        <v>142</v>
      </c>
      <c r="B22" s="6" t="n">
        <v>0.386</v>
      </c>
      <c r="D22" s="5" t="s">
        <v>95</v>
      </c>
      <c r="E22" s="6" t="n">
        <v>-0.072</v>
      </c>
    </row>
    <row r="23" customFormat="false" ht="15" hidden="false" customHeight="false" outlineLevel="0" collapsed="false">
      <c r="A23" s="5" t="s">
        <v>123</v>
      </c>
      <c r="B23" s="6" t="n">
        <v>0.354</v>
      </c>
      <c r="D23" s="5" t="s">
        <v>143</v>
      </c>
      <c r="E23" s="6" t="n">
        <v>-0.073</v>
      </c>
    </row>
    <row r="24" customFormat="false" ht="15" hidden="false" customHeight="false" outlineLevel="0" collapsed="false">
      <c r="A24" s="5" t="s">
        <v>112</v>
      </c>
      <c r="B24" s="6" t="n">
        <v>0.306</v>
      </c>
      <c r="D24" s="5" t="s">
        <v>104</v>
      </c>
      <c r="E24" s="6" t="n">
        <v>-0.076</v>
      </c>
    </row>
    <row r="25" customFormat="false" ht="15" hidden="false" customHeight="false" outlineLevel="0" collapsed="false">
      <c r="A25" s="5" t="s">
        <v>139</v>
      </c>
      <c r="B25" s="6" t="n">
        <v>0.279</v>
      </c>
      <c r="D25" s="5" t="s">
        <v>106</v>
      </c>
      <c r="E25" s="6" t="n">
        <v>-0.078</v>
      </c>
    </row>
    <row r="26" customFormat="false" ht="15" hidden="false" customHeight="false" outlineLevel="0" collapsed="false">
      <c r="A26" s="5" t="s">
        <v>144</v>
      </c>
      <c r="B26" s="6" t="n">
        <v>0.271</v>
      </c>
      <c r="D26" s="5" t="s">
        <v>145</v>
      </c>
      <c r="E26" s="6" t="n">
        <v>-0.081</v>
      </c>
    </row>
    <row r="27" customFormat="false" ht="15" hidden="false" customHeight="false" outlineLevel="0" collapsed="false">
      <c r="A27" s="5" t="s">
        <v>104</v>
      </c>
      <c r="B27" s="6" t="n">
        <v>0.259</v>
      </c>
      <c r="D27" s="5" t="s">
        <v>141</v>
      </c>
      <c r="E27" s="6" t="n">
        <v>-0.117</v>
      </c>
    </row>
    <row r="28" customFormat="false" ht="15" hidden="false" customHeight="false" outlineLevel="0" collapsed="false">
      <c r="A28" s="5" t="s">
        <v>134</v>
      </c>
      <c r="B28" s="6" t="n">
        <v>0.258</v>
      </c>
      <c r="D28" s="5" t="s">
        <v>111</v>
      </c>
      <c r="E28" s="6" t="n">
        <v>-0.121</v>
      </c>
    </row>
    <row r="29" customFormat="false" ht="15" hidden="false" customHeight="false" outlineLevel="0" collapsed="false">
      <c r="A29" s="5" t="s">
        <v>91</v>
      </c>
      <c r="B29" s="6" t="n">
        <v>0.247</v>
      </c>
      <c r="D29" s="5" t="s">
        <v>137</v>
      </c>
      <c r="E29" s="6" t="n">
        <v>-0.157</v>
      </c>
    </row>
    <row r="30" customFormat="false" ht="15" hidden="false" customHeight="false" outlineLevel="0" collapsed="false">
      <c r="A30" s="5" t="s">
        <v>106</v>
      </c>
      <c r="B30" s="6" t="n">
        <v>0.247</v>
      </c>
      <c r="D30" s="5" t="s">
        <v>90</v>
      </c>
      <c r="E30" s="6" t="n">
        <v>-0.183</v>
      </c>
    </row>
    <row r="31" customFormat="false" ht="15" hidden="false" customHeight="false" outlineLevel="0" collapsed="false">
      <c r="A31" s="5" t="s">
        <v>100</v>
      </c>
      <c r="B31" s="6" t="n">
        <v>0.244</v>
      </c>
      <c r="D31" s="5" t="s">
        <v>91</v>
      </c>
      <c r="E31" s="6" t="n">
        <v>-0.227</v>
      </c>
    </row>
    <row r="32" customFormat="false" ht="15" hidden="false" customHeight="false" outlineLevel="0" collapsed="false">
      <c r="A32" s="5" t="s">
        <v>145</v>
      </c>
      <c r="B32" s="6" t="n">
        <v>0.227</v>
      </c>
      <c r="D32" s="5" t="s">
        <v>146</v>
      </c>
      <c r="E32" s="6" t="n">
        <v>-0.248</v>
      </c>
    </row>
    <row r="33" customFormat="false" ht="15" hidden="false" customHeight="false" outlineLevel="0" collapsed="false">
      <c r="A33" s="5" t="s">
        <v>147</v>
      </c>
      <c r="B33" s="6" t="n">
        <v>0.223</v>
      </c>
      <c r="D33" s="5" t="s">
        <v>148</v>
      </c>
      <c r="E33" s="6" t="n">
        <v>-0.289</v>
      </c>
    </row>
    <row r="34" customFormat="false" ht="15" hidden="false" customHeight="false" outlineLevel="0" collapsed="false">
      <c r="A34" s="5" t="s">
        <v>101</v>
      </c>
      <c r="B34" s="6" t="n">
        <v>0.221</v>
      </c>
      <c r="D34" s="5" t="s">
        <v>116</v>
      </c>
      <c r="E34" s="6" t="n">
        <v>-0.51</v>
      </c>
    </row>
    <row r="35" customFormat="false" ht="15" hidden="false" customHeight="false" outlineLevel="0" collapsed="false">
      <c r="A35" s="5" t="s">
        <v>149</v>
      </c>
      <c r="B35" s="6" t="n">
        <v>0.218</v>
      </c>
      <c r="D35" s="5" t="s">
        <v>92</v>
      </c>
      <c r="E35" s="6" t="n">
        <v>-0.546</v>
      </c>
    </row>
    <row r="36" customFormat="false" ht="15" hidden="false" customHeight="false" outlineLevel="0" collapsed="false">
      <c r="A36" s="5" t="s">
        <v>150</v>
      </c>
      <c r="B36" s="6" t="n">
        <v>0.217</v>
      </c>
      <c r="D36" s="5" t="s">
        <v>147</v>
      </c>
      <c r="E36" s="6" t="n">
        <v>-0.911</v>
      </c>
    </row>
    <row r="37" customFormat="false" ht="15" hidden="false" customHeight="false" outlineLevel="0" collapsed="false">
      <c r="A37" s="5" t="s">
        <v>136</v>
      </c>
      <c r="B37" s="6" t="n">
        <v>0.194</v>
      </c>
      <c r="D37" s="5" t="s">
        <v>83</v>
      </c>
      <c r="E37" s="6" t="n">
        <v>-1.671</v>
      </c>
    </row>
    <row r="38" customFormat="false" ht="15" hidden="false" customHeight="false" outlineLevel="0" collapsed="false">
      <c r="A38" s="5" t="s">
        <v>140</v>
      </c>
      <c r="B38" s="6" t="n">
        <v>0.191</v>
      </c>
      <c r="D38" s="5" t="s">
        <v>151</v>
      </c>
      <c r="E38" s="6" t="n">
        <v>-2.41</v>
      </c>
    </row>
    <row r="39" customFormat="false" ht="15" hidden="false" customHeight="false" outlineLevel="0" collapsed="false">
      <c r="A39" s="5" t="s">
        <v>89</v>
      </c>
      <c r="B39" s="6" t="n">
        <v>0.187</v>
      </c>
      <c r="D39" s="5" t="s">
        <v>105</v>
      </c>
      <c r="E39" s="6" t="n">
        <v>-2.563</v>
      </c>
    </row>
    <row r="40" customFormat="false" ht="15" hidden="false" customHeight="false" outlineLevel="0" collapsed="false">
      <c r="A40" s="5" t="s">
        <v>117</v>
      </c>
      <c r="B40" s="6" t="n">
        <v>0.162</v>
      </c>
      <c r="D40" s="5" t="s">
        <v>86</v>
      </c>
      <c r="E40" s="6" t="n">
        <v>-3.864</v>
      </c>
    </row>
    <row r="41" customFormat="false" ht="15" hidden="false" customHeight="false" outlineLevel="0" collapsed="false">
      <c r="A41" s="5" t="s">
        <v>109</v>
      </c>
      <c r="B41" s="6" t="n">
        <v>0.146</v>
      </c>
      <c r="D41" s="20" t="s">
        <v>14</v>
      </c>
      <c r="E41" s="21" t="n">
        <f aca="false">SUM(E6:E40)</f>
        <v>-2.729</v>
      </c>
    </row>
    <row r="42" customFormat="false" ht="15" hidden="false" customHeight="false" outlineLevel="0" collapsed="false">
      <c r="A42" s="5" t="s">
        <v>125</v>
      </c>
      <c r="B42" s="6" t="n">
        <v>0.143</v>
      </c>
    </row>
    <row r="43" customFormat="false" ht="15" hidden="false" customHeight="false" outlineLevel="0" collapsed="false">
      <c r="A43" s="5" t="s">
        <v>132</v>
      </c>
      <c r="B43" s="6" t="n">
        <v>0.14</v>
      </c>
    </row>
    <row r="44" customFormat="false" ht="15" hidden="false" customHeight="false" outlineLevel="0" collapsed="false">
      <c r="A44" s="5" t="s">
        <v>143</v>
      </c>
      <c r="B44" s="6" t="n">
        <v>0.134</v>
      </c>
    </row>
    <row r="45" customFormat="false" ht="15" hidden="false" customHeight="false" outlineLevel="0" collapsed="false">
      <c r="A45" s="5" t="s">
        <v>152</v>
      </c>
      <c r="B45" s="6" t="n">
        <v>0.133</v>
      </c>
    </row>
    <row r="46" customFormat="false" ht="15" hidden="false" customHeight="false" outlineLevel="0" collapsed="false">
      <c r="A46" s="5" t="s">
        <v>153</v>
      </c>
      <c r="B46" s="6" t="n">
        <v>0.081</v>
      </c>
    </row>
    <row r="47" customFormat="false" ht="15" hidden="false" customHeight="false" outlineLevel="0" collapsed="false">
      <c r="A47" s="5" t="s">
        <v>110</v>
      </c>
      <c r="B47" s="6" t="n">
        <v>0.067</v>
      </c>
    </row>
    <row r="48" customFormat="false" ht="15" hidden="false" customHeight="false" outlineLevel="0" collapsed="false">
      <c r="A48" s="5" t="s">
        <v>99</v>
      </c>
      <c r="B48" s="6" t="n">
        <v>0.06</v>
      </c>
    </row>
    <row r="49" customFormat="false" ht="15" hidden="false" customHeight="false" outlineLevel="0" collapsed="false">
      <c r="A49" s="5" t="s">
        <v>118</v>
      </c>
      <c r="B49" s="6" t="n">
        <v>0.058</v>
      </c>
    </row>
    <row r="50" customFormat="false" ht="15" hidden="false" customHeight="false" outlineLevel="0" collapsed="false">
      <c r="A50" s="5" t="s">
        <v>154</v>
      </c>
      <c r="B50" s="6" t="n">
        <v>0.054</v>
      </c>
    </row>
    <row r="51" customFormat="false" ht="15" hidden="false" customHeight="false" outlineLevel="0" collapsed="false">
      <c r="A51" s="5" t="s">
        <v>119</v>
      </c>
      <c r="B51" s="6" t="n">
        <v>0.053</v>
      </c>
    </row>
    <row r="52" customFormat="false" ht="15" hidden="false" customHeight="false" outlineLevel="0" collapsed="false">
      <c r="A52" s="5" t="s">
        <v>155</v>
      </c>
      <c r="B52" s="6" t="n">
        <v>-0.086</v>
      </c>
    </row>
    <row r="53" customFormat="false" ht="15" hidden="false" customHeight="false" outlineLevel="0" collapsed="false">
      <c r="A53" s="5" t="s">
        <v>102</v>
      </c>
      <c r="B53" s="6" t="n">
        <v>-0.099</v>
      </c>
    </row>
    <row r="54" customFormat="false" ht="15" hidden="false" customHeight="false" outlineLevel="0" collapsed="false">
      <c r="A54" s="5" t="s">
        <v>127</v>
      </c>
      <c r="B54" s="6" t="n">
        <v>-0.116</v>
      </c>
    </row>
    <row r="55" customFormat="false" ht="15" hidden="false" customHeight="false" outlineLevel="0" collapsed="false">
      <c r="A55" s="5" t="s">
        <v>97</v>
      </c>
      <c r="B55" s="6" t="n">
        <v>-0.133</v>
      </c>
    </row>
    <row r="56" customFormat="false" ht="15" hidden="false" customHeight="false" outlineLevel="0" collapsed="false">
      <c r="A56" s="5" t="s">
        <v>148</v>
      </c>
      <c r="B56" s="6" t="n">
        <v>-0.191</v>
      </c>
    </row>
    <row r="57" customFormat="false" ht="15" hidden="false" customHeight="false" outlineLevel="0" collapsed="false">
      <c r="A57" s="5" t="s">
        <v>111</v>
      </c>
      <c r="B57" s="6" t="n">
        <v>-0.287</v>
      </c>
    </row>
    <row r="58" customFormat="false" ht="15" hidden="false" customHeight="false" outlineLevel="0" collapsed="false">
      <c r="A58" s="5" t="s">
        <v>146</v>
      </c>
      <c r="B58" s="6" t="n">
        <v>-0.917</v>
      </c>
    </row>
    <row r="59" customFormat="false" ht="15" hidden="false" customHeight="false" outlineLevel="0" collapsed="false">
      <c r="A59" s="5" t="s">
        <v>94</v>
      </c>
      <c r="B59" s="6" t="n">
        <v>-1.767</v>
      </c>
    </row>
    <row r="60" customFormat="false" ht="15" hidden="false" customHeight="false" outlineLevel="0" collapsed="false">
      <c r="A60" s="5" t="s">
        <v>151</v>
      </c>
      <c r="B60" s="6" t="n">
        <v>-1.787</v>
      </c>
    </row>
    <row r="61" customFormat="false" ht="15" hidden="false" customHeight="false" outlineLevel="0" collapsed="false">
      <c r="A61" s="20" t="s">
        <v>14</v>
      </c>
      <c r="B61" s="21" t="n">
        <f aca="false">SUM(B6:B60)</f>
        <v>66.021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3" min="3" style="0" width="3"/>
    <col collapsed="false" customWidth="true" hidden="false" outlineLevel="0" max="4" min="4" style="0" width="50"/>
    <col collapsed="false" customWidth="true" hidden="false" outlineLevel="0" max="5" min="5" style="0" width="11"/>
  </cols>
  <sheetData>
    <row r="1" customFormat="false" ht="1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A4" s="11" t="s">
        <v>157</v>
      </c>
      <c r="D4" s="11" t="s">
        <v>158</v>
      </c>
    </row>
    <row r="5" customFormat="false" ht="15" hidden="false" customHeight="false" outlineLevel="0" collapsed="false">
      <c r="A5" s="19" t="s">
        <v>82</v>
      </c>
      <c r="B5" s="19" t="s">
        <v>21</v>
      </c>
      <c r="D5" s="19" t="s">
        <v>82</v>
      </c>
      <c r="E5" s="19" t="s">
        <v>21</v>
      </c>
    </row>
    <row r="6" customFormat="false" ht="15" hidden="false" customHeight="false" outlineLevel="0" collapsed="false">
      <c r="A6" s="5" t="s">
        <v>83</v>
      </c>
      <c r="B6" s="6" t="n">
        <v>7.591</v>
      </c>
      <c r="D6" s="5" t="s">
        <v>109</v>
      </c>
      <c r="E6" s="6" t="n">
        <v>1.829</v>
      </c>
    </row>
    <row r="7" customFormat="false" ht="15" hidden="false" customHeight="false" outlineLevel="0" collapsed="false">
      <c r="A7" s="5" t="s">
        <v>90</v>
      </c>
      <c r="B7" s="6" t="n">
        <v>1.255</v>
      </c>
      <c r="D7" s="5" t="s">
        <v>83</v>
      </c>
      <c r="E7" s="6" t="n">
        <v>-0.104</v>
      </c>
    </row>
    <row r="8" customFormat="false" ht="15" hidden="false" customHeight="false" outlineLevel="0" collapsed="false">
      <c r="A8" s="5" t="s">
        <v>109</v>
      </c>
      <c r="B8" s="6" t="n">
        <v>0.957</v>
      </c>
      <c r="D8" s="5" t="s">
        <v>125</v>
      </c>
      <c r="E8" s="6" t="n">
        <v>-0.155</v>
      </c>
    </row>
    <row r="9" customFormat="false" ht="15" hidden="false" customHeight="false" outlineLevel="0" collapsed="false">
      <c r="A9" s="5" t="s">
        <v>111</v>
      </c>
      <c r="B9" s="6" t="n">
        <v>0.897</v>
      </c>
      <c r="D9" s="5" t="s">
        <v>122</v>
      </c>
      <c r="E9" s="6" t="n">
        <v>-0.216</v>
      </c>
    </row>
    <row r="10" customFormat="false" ht="15" hidden="false" customHeight="false" outlineLevel="0" collapsed="false">
      <c r="A10" s="5" t="s">
        <v>103</v>
      </c>
      <c r="B10" s="6" t="n">
        <v>0.85</v>
      </c>
      <c r="D10" s="5" t="s">
        <v>103</v>
      </c>
      <c r="E10" s="6" t="n">
        <v>-0.26</v>
      </c>
    </row>
    <row r="11" customFormat="false" ht="15" hidden="false" customHeight="false" outlineLevel="0" collapsed="false">
      <c r="A11" s="5" t="s">
        <v>94</v>
      </c>
      <c r="B11" s="6" t="n">
        <v>0.831</v>
      </c>
      <c r="D11" s="5" t="s">
        <v>90</v>
      </c>
      <c r="E11" s="6" t="n">
        <v>-0.417</v>
      </c>
    </row>
    <row r="12" customFormat="false" ht="15" hidden="false" customHeight="false" outlineLevel="0" collapsed="false">
      <c r="A12" s="5" t="s">
        <v>122</v>
      </c>
      <c r="B12" s="6" t="n">
        <v>-0.457</v>
      </c>
      <c r="D12" s="5" t="s">
        <v>97</v>
      </c>
      <c r="E12" s="6" t="n">
        <v>-0.579</v>
      </c>
    </row>
    <row r="13" customFormat="false" ht="15" hidden="false" customHeight="false" outlineLevel="0" collapsed="false">
      <c r="A13" s="5" t="s">
        <v>91</v>
      </c>
      <c r="B13" s="6" t="n">
        <v>-1.014</v>
      </c>
      <c r="D13" s="5" t="s">
        <v>111</v>
      </c>
      <c r="E13" s="6" t="n">
        <v>-0.651</v>
      </c>
    </row>
    <row r="14" customFormat="false" ht="15" hidden="false" customHeight="false" outlineLevel="0" collapsed="false">
      <c r="A14" s="5" t="s">
        <v>125</v>
      </c>
      <c r="B14" s="6" t="n">
        <v>-18.758</v>
      </c>
      <c r="D14" s="5" t="s">
        <v>94</v>
      </c>
      <c r="E14" s="6" t="n">
        <v>-0.698</v>
      </c>
    </row>
    <row r="15" customFormat="false" ht="15" hidden="false" customHeight="false" outlineLevel="0" collapsed="false">
      <c r="A15" s="5" t="s">
        <v>97</v>
      </c>
      <c r="B15" s="6" t="n">
        <v>-64.184</v>
      </c>
      <c r="D15" s="5" t="s">
        <v>91</v>
      </c>
      <c r="E15" s="6" t="n">
        <v>-2.95</v>
      </c>
    </row>
    <row r="16" customFormat="false" ht="15" hidden="false" customHeight="false" outlineLevel="0" collapsed="false">
      <c r="A16" s="20" t="s">
        <v>14</v>
      </c>
      <c r="B16" s="21" t="n">
        <f aca="false">SUM(B6:B15)</f>
        <v>-72.032</v>
      </c>
      <c r="D16" s="20" t="s">
        <v>14</v>
      </c>
      <c r="E16" s="21" t="n">
        <f aca="false">SUM(E6:E15)</f>
        <v>-4.201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3" min="3" style="0" width="3"/>
    <col collapsed="false" customWidth="true" hidden="false" outlineLevel="0" max="4" min="4" style="0" width="50"/>
    <col collapsed="false" customWidth="true" hidden="false" outlineLevel="0" max="5" min="5" style="0" width="11"/>
  </cols>
  <sheetData>
    <row r="1" customFormat="false" ht="1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A4" s="11" t="s">
        <v>160</v>
      </c>
      <c r="D4" s="11" t="s">
        <v>161</v>
      </c>
    </row>
    <row r="5" customFormat="false" ht="15" hidden="false" customHeight="false" outlineLevel="0" collapsed="false">
      <c r="A5" s="19" t="s">
        <v>82</v>
      </c>
      <c r="B5" s="19" t="s">
        <v>21</v>
      </c>
      <c r="D5" s="19" t="s">
        <v>82</v>
      </c>
      <c r="E5" s="19" t="s">
        <v>21</v>
      </c>
    </row>
    <row r="6" customFormat="false" ht="15" hidden="false" customHeight="false" outlineLevel="0" collapsed="false">
      <c r="A6" s="5" t="s">
        <v>147</v>
      </c>
      <c r="B6" s="6" t="n">
        <v>1.552</v>
      </c>
      <c r="D6" s="5" t="s">
        <v>147</v>
      </c>
      <c r="E6" s="6" t="n">
        <v>0.486</v>
      </c>
    </row>
    <row r="7" customFormat="false" ht="15" hidden="false" customHeight="false" outlineLevel="0" collapsed="false">
      <c r="A7" s="5" t="s">
        <v>92</v>
      </c>
      <c r="B7" s="6" t="n">
        <v>0.997</v>
      </c>
      <c r="D7" s="5" t="s">
        <v>92</v>
      </c>
      <c r="E7" s="6" t="n">
        <v>0.305</v>
      </c>
    </row>
    <row r="8" customFormat="false" ht="15" hidden="false" customHeight="false" outlineLevel="0" collapsed="false">
      <c r="A8" s="5" t="s">
        <v>105</v>
      </c>
      <c r="B8" s="6" t="n">
        <v>0.596</v>
      </c>
      <c r="D8" s="5" t="s">
        <v>105</v>
      </c>
      <c r="E8" s="6" t="n">
        <v>0.169</v>
      </c>
    </row>
    <row r="9" customFormat="false" ht="15" hidden="false" customHeight="false" outlineLevel="0" collapsed="false">
      <c r="A9" s="5" t="s">
        <v>137</v>
      </c>
      <c r="B9" s="6" t="n">
        <v>0.294</v>
      </c>
      <c r="D9" s="5" t="s">
        <v>137</v>
      </c>
      <c r="E9" s="6" t="n">
        <v>0.093</v>
      </c>
    </row>
    <row r="10" customFormat="false" ht="15" hidden="false" customHeight="false" outlineLevel="0" collapsed="false">
      <c r="A10" s="5" t="s">
        <v>138</v>
      </c>
      <c r="B10" s="6" t="n">
        <v>0.277</v>
      </c>
      <c r="D10" s="5" t="s">
        <v>138</v>
      </c>
      <c r="E10" s="6" t="n">
        <v>0.089</v>
      </c>
    </row>
    <row r="11" customFormat="false" ht="15" hidden="false" customHeight="false" outlineLevel="0" collapsed="false">
      <c r="A11" s="5" t="s">
        <v>96</v>
      </c>
      <c r="B11" s="6" t="n">
        <v>0.234</v>
      </c>
      <c r="D11" s="5" t="s">
        <v>96</v>
      </c>
      <c r="E11" s="6" t="n">
        <v>0.076</v>
      </c>
    </row>
    <row r="12" customFormat="false" ht="15" hidden="false" customHeight="false" outlineLevel="0" collapsed="false">
      <c r="A12" s="5" t="s">
        <v>103</v>
      </c>
      <c r="B12" s="6" t="n">
        <v>0.211</v>
      </c>
      <c r="D12" s="5" t="s">
        <v>103</v>
      </c>
      <c r="E12" s="6" t="n">
        <v>0.066</v>
      </c>
    </row>
    <row r="13" customFormat="false" ht="15" hidden="false" customHeight="false" outlineLevel="0" collapsed="false">
      <c r="A13" s="5" t="s">
        <v>87</v>
      </c>
      <c r="B13" s="6" t="n">
        <v>0.156</v>
      </c>
      <c r="D13" s="5" t="s">
        <v>91</v>
      </c>
      <c r="E13" s="6" t="n">
        <v>-0.071</v>
      </c>
    </row>
    <row r="14" customFormat="false" ht="15" hidden="false" customHeight="false" outlineLevel="0" collapsed="false">
      <c r="A14" s="5" t="s">
        <v>83</v>
      </c>
      <c r="B14" s="6" t="n">
        <v>0.083</v>
      </c>
      <c r="D14" s="5" t="s">
        <v>86</v>
      </c>
      <c r="E14" s="6" t="n">
        <v>-9.572</v>
      </c>
    </row>
    <row r="15" customFormat="false" ht="15" hidden="false" customHeight="false" outlineLevel="0" collapsed="false">
      <c r="A15" s="5" t="s">
        <v>142</v>
      </c>
      <c r="B15" s="6" t="n">
        <v>0.068</v>
      </c>
      <c r="D15" s="20" t="s">
        <v>14</v>
      </c>
      <c r="E15" s="21" t="n">
        <f aca="false">SUM(E6:E14)</f>
        <v>-8.359</v>
      </c>
    </row>
    <row r="16" customFormat="false" ht="15" hidden="false" customHeight="false" outlineLevel="0" collapsed="false">
      <c r="A16" s="5" t="s">
        <v>86</v>
      </c>
      <c r="B16" s="6" t="n">
        <v>-0.196</v>
      </c>
    </row>
    <row r="17" customFormat="false" ht="15" hidden="false" customHeight="false" outlineLevel="0" collapsed="false">
      <c r="A17" s="20" t="s">
        <v>14</v>
      </c>
      <c r="B17" s="21" t="n">
        <f aca="false">SUM(B6:B16)</f>
        <v>4.272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5" min="3" style="0" width="10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1" t="s">
        <v>162</v>
      </c>
    </row>
    <row r="3" customFormat="false" ht="15" hidden="false" customHeight="false" outlineLevel="0" collapsed="false">
      <c r="A3" s="3" t="s">
        <v>163</v>
      </c>
      <c r="B3" s="4" t="s">
        <v>164</v>
      </c>
      <c r="C3" s="4" t="s">
        <v>4</v>
      </c>
      <c r="D3" s="4" t="s">
        <v>6</v>
      </c>
      <c r="E3" s="4" t="s">
        <v>165</v>
      </c>
      <c r="F3" s="4" t="s">
        <v>166</v>
      </c>
    </row>
    <row r="4" customFormat="false" ht="15" hidden="false" customHeight="false" outlineLevel="0" collapsed="false">
      <c r="A4" s="5" t="s">
        <v>47</v>
      </c>
      <c r="B4" s="5" t="s">
        <v>45</v>
      </c>
      <c r="C4" s="6" t="n">
        <v>54</v>
      </c>
      <c r="D4" s="6" t="n">
        <v>1.3</v>
      </c>
      <c r="E4" s="22" t="n">
        <f aca="false">D4-C4</f>
        <v>-52.7</v>
      </c>
      <c r="F4" s="23" t="s">
        <v>48</v>
      </c>
    </row>
    <row r="5" customFormat="false" ht="15" hidden="false" customHeight="false" outlineLevel="0" collapsed="false">
      <c r="A5" s="5" t="s">
        <v>49</v>
      </c>
      <c r="B5" s="5" t="s">
        <v>45</v>
      </c>
      <c r="C5" s="6" t="n">
        <v>16.4</v>
      </c>
      <c r="D5" s="6" t="n">
        <v>4</v>
      </c>
      <c r="E5" s="22" t="n">
        <f aca="false">D5-C5</f>
        <v>-12.4</v>
      </c>
      <c r="F5" s="23" t="s">
        <v>167</v>
      </c>
    </row>
    <row r="6" customFormat="false" ht="15" hidden="false" customHeight="false" outlineLevel="0" collapsed="false">
      <c r="A6" s="5" t="s">
        <v>51</v>
      </c>
      <c r="B6" s="5" t="s">
        <v>45</v>
      </c>
      <c r="C6" s="6" t="n">
        <v>9.8</v>
      </c>
      <c r="D6" s="6" t="n">
        <v>3.4</v>
      </c>
      <c r="E6" s="22" t="n">
        <f aca="false">D6-C6</f>
        <v>-6.4</v>
      </c>
      <c r="F6" s="23" t="s">
        <v>52</v>
      </c>
    </row>
    <row r="7" customFormat="false" ht="15" hidden="false" customHeight="false" outlineLevel="0" collapsed="false">
      <c r="A7" s="20" t="s">
        <v>168</v>
      </c>
      <c r="C7" s="21" t="n">
        <f aca="false">SUM(C4:C6)</f>
        <v>80.2</v>
      </c>
      <c r="D7" s="21" t="n">
        <f aca="false">SUM(D4:D6)</f>
        <v>8.7</v>
      </c>
      <c r="E7" s="21" t="n">
        <f aca="false">D7-C7</f>
        <v>-71.5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2026-09-10T07:28:47Z</dcterms:created>
  <dc:creator>openpyxl</dc:creator>
  <dc:description/>
  <dc:language>en-JM</dc:language>
  <cp:lastModifiedBy/>
  <dcterms:modified xsi:type="dcterms:W3CDTF">2026-09-10T07:28:47Z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