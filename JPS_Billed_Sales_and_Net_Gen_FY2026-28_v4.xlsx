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lled and Net Gen" sheetId="1" state="visible" r:id="rId1"/>
    <sheet xmlns:r="http://schemas.openxmlformats.org/officeDocument/2006/relationships" name="Billed by rate clas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0.0"/>
    <numFmt numFmtId="167" formatCode="+0.0%;-0.0%"/>
  </numFmts>
  <fonts count="9">
    <font>
      <name val="Calibri"/>
      <family val="2"/>
      <color theme="1"/>
      <sz val="11"/>
      <scheme val="minor"/>
    </font>
    <font>
      <name val="Arial"/>
      <b val="1"/>
      <color rgb="00062552"/>
      <sz val="13"/>
    </font>
    <font>
      <name val="Arial"/>
      <i val="1"/>
      <color rgb="0066788A"/>
      <sz val="10"/>
    </font>
    <font>
      <name val="Arial"/>
      <b val="1"/>
      <color rgb="00FFFFFF"/>
      <sz val="10"/>
    </font>
    <font>
      <name val="Arial"/>
      <b val="1"/>
      <color rgb="00062552"/>
      <sz val="10"/>
    </font>
    <font>
      <name val="Arial"/>
      <color rgb="000000FF"/>
      <sz val="10"/>
    </font>
    <font>
      <name val="Arial"/>
      <b val="1"/>
      <sz val="10"/>
    </font>
    <font>
      <name val="Arial"/>
      <sz val="10"/>
    </font>
    <font>
      <name val="Arial"/>
      <color rgb="00000000"/>
      <sz val="10"/>
    </font>
  </fonts>
  <fills count="6">
    <fill>
      <patternFill/>
    </fill>
    <fill>
      <patternFill patternType="gray125"/>
    </fill>
    <fill>
      <patternFill patternType="solid">
        <fgColor rgb="00062552"/>
      </patternFill>
    </fill>
    <fill>
      <patternFill patternType="solid">
        <fgColor rgb="00009FDA"/>
      </patternFill>
    </fill>
    <fill>
      <patternFill patternType="solid">
        <fgColor rgb="000E4E95"/>
      </patternFill>
    </fill>
    <fill>
      <patternFill patternType="solid">
        <fgColor rgb="00F3F6FB"/>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0" fontId="4" fillId="0" borderId="0" pivotButton="0" quotePrefix="0" xfId="0"/>
    <xf numFmtId="0" fontId="7" fillId="0" borderId="0" pivotButton="0" quotePrefix="0" xfId="0"/>
    <xf numFmtId="164" fontId="7" fillId="0" borderId="0" pivotButton="0" quotePrefix="0" xfId="0"/>
    <xf numFmtId="165" fontId="7" fillId="0" borderId="0" pivotButton="0" quotePrefix="0" xfId="0"/>
    <xf numFmtId="164" fontId="5" fillId="0" borderId="0" pivotButton="0" quotePrefix="0" xfId="0"/>
    <xf numFmtId="0" fontId="4" fillId="5" borderId="0" pivotButton="0" quotePrefix="0" xfId="0"/>
    <xf numFmtId="0" fontId="7" fillId="5" borderId="0" pivotButton="0" quotePrefix="0" xfId="0"/>
    <xf numFmtId="164" fontId="7" fillId="5" borderId="0" pivotButton="0" quotePrefix="0" xfId="0"/>
    <xf numFmtId="165" fontId="7" fillId="5" borderId="0" pivotButton="0" quotePrefix="0" xfId="0"/>
    <xf numFmtId="164" fontId="5" fillId="5" borderId="0" pivotButton="0" quotePrefix="0" xfId="0"/>
    <xf numFmtId="0" fontId="3" fillId="2" borderId="0" pivotButton="0" quotePrefix="0" xfId="0"/>
    <xf numFmtId="0" fontId="0" fillId="2" borderId="0" pivotButton="0" quotePrefix="0" xfId="0"/>
    <xf numFmtId="164" fontId="3" fillId="2" borderId="0" pivotButton="0" quotePrefix="0" xfId="0"/>
    <xf numFmtId="165" fontId="3" fillId="2" borderId="0" pivotButton="0" quotePrefix="0" xfId="0"/>
    <xf numFmtId="166" fontId="2" fillId="0" borderId="0" pivotButton="0" quotePrefix="0" xfId="0"/>
    <xf numFmtId="165" fontId="5" fillId="5" borderId="0" pivotButton="0" quotePrefix="0" xfId="0"/>
    <xf numFmtId="0" fontId="0" fillId="4" borderId="0" pivotButton="0" quotePrefix="0" xfId="0"/>
    <xf numFmtId="0" fontId="3" fillId="4" borderId="0" pivotButton="0" quotePrefix="0" xfId="0"/>
    <xf numFmtId="167" fontId="7" fillId="0" borderId="0" pivotButton="0" quotePrefix="0" xfId="0"/>
    <xf numFmtId="0" fontId="3" fillId="2" borderId="0" applyAlignment="1" pivotButton="0" quotePrefix="0" xfId="0">
      <alignment horizontal="center"/>
    </xf>
    <xf numFmtId="0" fontId="3" fillId="3" borderId="0" applyAlignment="1" pivotButton="0" quotePrefix="0" xfId="0">
      <alignment horizontal="center"/>
    </xf>
    <xf numFmtId="0" fontId="3" fillId="4" borderId="0" applyAlignment="1" pivotButton="0" quotePrefix="0" xfId="0">
      <alignment horizontal="center"/>
    </xf>
    <xf numFmtId="164" fontId="6" fillId="0" borderId="0" pivotButton="0" quotePrefix="0" xfId="0"/>
    <xf numFmtId="0" fontId="4"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8" customWidth="1" min="1" max="1"/>
    <col width="32" customWidth="1" min="2" max="2"/>
    <col width="16" customWidth="1" min="3" max="3"/>
    <col width="16" customWidth="1" min="4" max="4"/>
    <col width="16" customWidth="1" min="5" max="5"/>
    <col width="16" customWidth="1" min="6" max="6"/>
  </cols>
  <sheetData>
    <row r="1">
      <c r="A1" s="1" t="inlineStr">
        <is>
          <t>Billed sales and net generation, monthly FY2026 to FY2028</t>
        </is>
      </c>
    </row>
    <row r="2">
      <c r="A2" s="2" t="inlineStr">
        <is>
          <t>GWh. Losses = net generation less billed sales; loss % is losses as a share of net generation. Blue cells are inputs; the rest is calculated.</t>
        </is>
      </c>
    </row>
    <row r="4" ht="30" customHeight="1">
      <c r="A4" s="3" t="inlineStr">
        <is>
          <t>Period</t>
        </is>
      </c>
      <c r="B4" s="3" t="inlineStr">
        <is>
          <t>Basis</t>
        </is>
      </c>
      <c r="C4" s="3" t="inlineStr">
        <is>
          <t>Billed sales (GWh)</t>
        </is>
      </c>
      <c r="D4" s="3" t="inlineStr">
        <is>
          <t>Loss % of net gen</t>
        </is>
      </c>
      <c r="E4" s="3" t="inlineStr">
        <is>
          <t>Losses (GWh)</t>
        </is>
      </c>
      <c r="F4" s="3" t="inlineStr">
        <is>
          <t>Net generation (GWh)</t>
        </is>
      </c>
    </row>
    <row r="5">
      <c r="A5" s="4" t="inlineStr">
        <is>
          <t>Jan 2026</t>
        </is>
      </c>
      <c r="B5" s="5" t="inlineStr">
        <is>
          <t>Actual</t>
        </is>
      </c>
      <c r="C5" s="6">
        <f>'Billed by rate class'!B11</f>
        <v/>
      </c>
      <c r="D5" s="7">
        <f>E5/F5</f>
        <v/>
      </c>
      <c r="E5" s="6">
        <f>F5-C5</f>
        <v/>
      </c>
      <c r="F5" s="8" t="n">
        <v>325.445</v>
      </c>
    </row>
    <row r="6">
      <c r="A6" s="4" t="inlineStr">
        <is>
          <t>Feb 2026</t>
        </is>
      </c>
      <c r="B6" s="5" t="inlineStr">
        <is>
          <t>Actual</t>
        </is>
      </c>
      <c r="C6" s="6">
        <f>'Billed by rate class'!C11</f>
        <v/>
      </c>
      <c r="D6" s="7">
        <f>E6/F6</f>
        <v/>
      </c>
      <c r="E6" s="6">
        <f>F6-C6</f>
        <v/>
      </c>
      <c r="F6" s="8" t="n">
        <v>294.131833</v>
      </c>
    </row>
    <row r="7">
      <c r="A7" s="4" t="inlineStr">
        <is>
          <t>Mar 2026</t>
        </is>
      </c>
      <c r="B7" s="5" t="inlineStr">
        <is>
          <t>Actual</t>
        </is>
      </c>
      <c r="C7" s="6">
        <f>'Billed by rate class'!D11</f>
        <v/>
      </c>
      <c r="D7" s="7">
        <f>E7/F7</f>
        <v/>
      </c>
      <c r="E7" s="6">
        <f>F7-C7</f>
        <v/>
      </c>
      <c r="F7" s="8" t="n">
        <v>346.444129</v>
      </c>
    </row>
    <row r="8">
      <c r="A8" s="4" t="inlineStr">
        <is>
          <t>Apr 2026</t>
        </is>
      </c>
      <c r="B8" s="5" t="inlineStr">
        <is>
          <t>Actual</t>
        </is>
      </c>
      <c r="C8" s="6">
        <f>'Billed by rate class'!E11</f>
        <v/>
      </c>
      <c r="D8" s="7">
        <f>E8/F8</f>
        <v/>
      </c>
      <c r="E8" s="6">
        <f>F8-C8</f>
        <v/>
      </c>
      <c r="F8" s="8" t="n">
        <v>346.208915</v>
      </c>
    </row>
    <row r="9">
      <c r="A9" s="4" t="inlineStr">
        <is>
          <t>May 2026</t>
        </is>
      </c>
      <c r="B9" s="5" t="inlineStr">
        <is>
          <t>Actual</t>
        </is>
      </c>
      <c r="C9" s="6">
        <f>'Billed by rate class'!F11</f>
        <v/>
      </c>
      <c r="D9" s="7">
        <f>E9/F9</f>
        <v/>
      </c>
      <c r="E9" s="6">
        <f>F9-C9</f>
        <v/>
      </c>
      <c r="F9" s="8" t="n">
        <v>395.077012</v>
      </c>
    </row>
    <row r="10">
      <c r="A10" s="4" t="inlineStr">
        <is>
          <t>Jun 2026</t>
        </is>
      </c>
      <c r="B10" s="5" t="inlineStr">
        <is>
          <t>Actual</t>
        </is>
      </c>
      <c r="C10" s="6">
        <f>'Billed by rate class'!G11</f>
        <v/>
      </c>
      <c r="D10" s="7">
        <f>E10/F10</f>
        <v/>
      </c>
      <c r="E10" s="6">
        <f>F10-C10</f>
        <v/>
      </c>
      <c r="F10" s="8" t="n">
        <v>391.368837</v>
      </c>
    </row>
    <row r="11">
      <c r="A11" s="4" t="inlineStr">
        <is>
          <t>Jul 2026</t>
        </is>
      </c>
      <c r="B11" s="5" t="inlineStr">
        <is>
          <t>Actual</t>
        </is>
      </c>
      <c r="C11" s="6">
        <f>'Billed by rate class'!H11</f>
        <v/>
      </c>
      <c r="D11" s="7">
        <f>E11/F11</f>
        <v/>
      </c>
      <c r="E11" s="6">
        <f>F11-C11</f>
        <v/>
      </c>
      <c r="F11" s="8" t="n">
        <v>427.852407</v>
      </c>
    </row>
    <row r="12">
      <c r="A12" s="4" t="inlineStr">
        <is>
          <t>Aug 2026</t>
        </is>
      </c>
      <c r="B12" s="5" t="inlineStr">
        <is>
          <t>Actual</t>
        </is>
      </c>
      <c r="C12" s="6">
        <f>'Billed by rate class'!I11</f>
        <v/>
      </c>
      <c r="D12" s="7">
        <f>E12/F12</f>
        <v/>
      </c>
      <c r="E12" s="6">
        <f>F12-C12</f>
        <v/>
      </c>
      <c r="F12" s="8" t="n">
        <v>426.055509</v>
      </c>
    </row>
    <row r="13">
      <c r="A13" s="9" t="inlineStr">
        <is>
          <t>Sep 2026</t>
        </is>
      </c>
      <c r="B13" s="10" t="inlineStr">
        <is>
          <t>Billed actual, net gen estimate</t>
        </is>
      </c>
      <c r="C13" s="11">
        <f>'Billed by rate class'!J11</f>
        <v/>
      </c>
      <c r="D13" s="12">
        <f>E13/F13</f>
        <v/>
      </c>
      <c r="E13" s="11">
        <f>F13-C13</f>
        <v/>
      </c>
      <c r="F13" s="13" t="n">
        <v>407.689</v>
      </c>
    </row>
    <row r="14">
      <c r="A14" s="9" t="inlineStr">
        <is>
          <t>Oct 2026</t>
        </is>
      </c>
      <c r="B14" s="10" t="inlineStr">
        <is>
          <t>Forecast</t>
        </is>
      </c>
      <c r="C14" s="11">
        <f>'Billed by rate class'!K11</f>
        <v/>
      </c>
      <c r="D14" s="12">
        <f>E14/F14</f>
        <v/>
      </c>
      <c r="E14" s="11">
        <f>F14-C14</f>
        <v/>
      </c>
      <c r="F14" s="13" t="n">
        <v>397.4581930098401</v>
      </c>
    </row>
    <row r="15">
      <c r="A15" s="9" t="inlineStr">
        <is>
          <t>Nov 2026</t>
        </is>
      </c>
      <c r="B15" s="10" t="inlineStr">
        <is>
          <t>Forecast</t>
        </is>
      </c>
      <c r="C15" s="11">
        <f>'Billed by rate class'!L11</f>
        <v/>
      </c>
      <c r="D15" s="12">
        <f>E15/F15</f>
        <v/>
      </c>
      <c r="E15" s="11">
        <f>F15-C15</f>
        <v/>
      </c>
      <c r="F15" s="13" t="n">
        <v>390.3247234270041</v>
      </c>
    </row>
    <row r="16">
      <c r="A16" s="9" t="inlineStr">
        <is>
          <t>Dec 2026</t>
        </is>
      </c>
      <c r="B16" s="10" t="inlineStr">
        <is>
          <t>Forecast</t>
        </is>
      </c>
      <c r="C16" s="11">
        <f>'Billed by rate class'!M11</f>
        <v/>
      </c>
      <c r="D16" s="12">
        <f>E16/F16</f>
        <v/>
      </c>
      <c r="E16" s="11">
        <f>F16-C16</f>
        <v/>
      </c>
      <c r="F16" s="13" t="n">
        <v>378.8946428281986</v>
      </c>
    </row>
    <row r="17">
      <c r="A17" s="14" t="inlineStr">
        <is>
          <t>FY2026</t>
        </is>
      </c>
      <c r="B17" s="15" t="n"/>
      <c r="C17" s="16">
        <f>SUM(C5:C16)</f>
        <v/>
      </c>
      <c r="D17" s="17">
        <f>E17/F17</f>
        <v/>
      </c>
      <c r="E17" s="16">
        <f>SUM(E5:E16)</f>
        <v/>
      </c>
      <c r="F17" s="16">
        <f>SUM(F5:F16)</f>
        <v/>
      </c>
    </row>
    <row r="18">
      <c r="A18" s="2" t="inlineStr">
        <is>
          <t>Per financials LE</t>
        </is>
      </c>
      <c r="C18" s="8" t="n">
        <v>3299.661003255517</v>
      </c>
      <c r="D18" s="7">
        <f>E18/F18</f>
        <v/>
      </c>
      <c r="E18" s="6">
        <f>F18-C18</f>
        <v/>
      </c>
      <c r="F18" s="8" t="n">
        <v>4526.950201265043</v>
      </c>
    </row>
    <row r="19">
      <c r="A19" s="2" t="inlineStr">
        <is>
          <t>Difference</t>
        </is>
      </c>
      <c r="C19" s="18">
        <f>C17-C18</f>
        <v/>
      </c>
      <c r="E19" s="18">
        <f>E17-E18</f>
        <v/>
      </c>
      <c r="F19" s="18">
        <f>F17-F18</f>
        <v/>
      </c>
    </row>
    <row r="21">
      <c r="A21" s="9" t="inlineStr">
        <is>
          <t>Jan 2027</t>
        </is>
      </c>
      <c r="B21" s="10" t="inlineStr">
        <is>
          <t>Forecast</t>
        </is>
      </c>
      <c r="C21" s="11">
        <f>'Billed by rate class'!O11</f>
        <v/>
      </c>
      <c r="D21" s="19" t="n">
        <v>0.2775</v>
      </c>
      <c r="E21" s="11">
        <f>C21*D21/(1-D21)</f>
        <v/>
      </c>
      <c r="F21" s="11">
        <f>C21+E21</f>
        <v/>
      </c>
    </row>
    <row r="22">
      <c r="A22" s="9" t="inlineStr">
        <is>
          <t>Feb 2027</t>
        </is>
      </c>
      <c r="B22" s="10" t="inlineStr">
        <is>
          <t>Forecast</t>
        </is>
      </c>
      <c r="C22" s="11">
        <f>'Billed by rate class'!P11</f>
        <v/>
      </c>
      <c r="D22" s="19" t="n">
        <v>0.2278</v>
      </c>
      <c r="E22" s="11">
        <f>C22*D22/(1-D22)</f>
        <v/>
      </c>
      <c r="F22" s="11">
        <f>C22+E22</f>
        <v/>
      </c>
    </row>
    <row r="23">
      <c r="A23" s="9" t="inlineStr">
        <is>
          <t>Mar 2027</t>
        </is>
      </c>
      <c r="B23" s="10" t="inlineStr">
        <is>
          <t>Forecast</t>
        </is>
      </c>
      <c r="C23" s="11">
        <f>'Billed by rate class'!Q11</f>
        <v/>
      </c>
      <c r="D23" s="19" t="n">
        <v>0.2934</v>
      </c>
      <c r="E23" s="11">
        <f>C23*D23/(1-D23)</f>
        <v/>
      </c>
      <c r="F23" s="11">
        <f>C23+E23</f>
        <v/>
      </c>
    </row>
    <row r="24">
      <c r="A24" s="9" t="inlineStr">
        <is>
          <t>Apr 2027</t>
        </is>
      </c>
      <c r="B24" s="10" t="inlineStr">
        <is>
          <t>Forecast</t>
        </is>
      </c>
      <c r="C24" s="11">
        <f>'Billed by rate class'!R11</f>
        <v/>
      </c>
      <c r="D24" s="19" t="n">
        <v>0.2739</v>
      </c>
      <c r="E24" s="11">
        <f>C24*D24/(1-D24)</f>
        <v/>
      </c>
      <c r="F24" s="11">
        <f>C24+E24</f>
        <v/>
      </c>
    </row>
    <row r="25">
      <c r="A25" s="9" t="inlineStr">
        <is>
          <t>May 2027</t>
        </is>
      </c>
      <c r="B25" s="10" t="inlineStr">
        <is>
          <t>Forecast</t>
        </is>
      </c>
      <c r="C25" s="11">
        <f>'Billed by rate class'!S11</f>
        <v/>
      </c>
      <c r="D25" s="19" t="n">
        <v>0.3072</v>
      </c>
      <c r="E25" s="11">
        <f>C25*D25/(1-D25)</f>
        <v/>
      </c>
      <c r="F25" s="11">
        <f>C25+E25</f>
        <v/>
      </c>
    </row>
    <row r="26">
      <c r="A26" s="9" t="inlineStr">
        <is>
          <t>Jun 2027</t>
        </is>
      </c>
      <c r="B26" s="10" t="inlineStr">
        <is>
          <t>Forecast</t>
        </is>
      </c>
      <c r="C26" s="11">
        <f>'Billed by rate class'!T11</f>
        <v/>
      </c>
      <c r="D26" s="19" t="n">
        <v>0.2653</v>
      </c>
      <c r="E26" s="11">
        <f>C26*D26/(1-D26)</f>
        <v/>
      </c>
      <c r="F26" s="11">
        <f>C26+E26</f>
        <v/>
      </c>
    </row>
    <row r="27">
      <c r="A27" s="9" t="inlineStr">
        <is>
          <t>Jul 2027</t>
        </is>
      </c>
      <c r="B27" s="10" t="inlineStr">
        <is>
          <t>Forecast</t>
        </is>
      </c>
      <c r="C27" s="11">
        <f>'Billed by rate class'!U11</f>
        <v/>
      </c>
      <c r="D27" s="19" t="n">
        <v>0.2756</v>
      </c>
      <c r="E27" s="11">
        <f>C27*D27/(1-D27)</f>
        <v/>
      </c>
      <c r="F27" s="11">
        <f>C27+E27</f>
        <v/>
      </c>
    </row>
    <row r="28">
      <c r="A28" s="9" t="inlineStr">
        <is>
          <t>Aug 2027</t>
        </is>
      </c>
      <c r="B28" s="10" t="inlineStr">
        <is>
          <t>Forecast</t>
        </is>
      </c>
      <c r="C28" s="11">
        <f>'Billed by rate class'!V11</f>
        <v/>
      </c>
      <c r="D28" s="19" t="n">
        <v>0.2821</v>
      </c>
      <c r="E28" s="11">
        <f>C28*D28/(1-D28)</f>
        <v/>
      </c>
      <c r="F28" s="11">
        <f>C28+E28</f>
        <v/>
      </c>
    </row>
    <row r="29">
      <c r="A29" s="9" t="inlineStr">
        <is>
          <t>Sep 2027</t>
        </is>
      </c>
      <c r="B29" s="10" t="inlineStr">
        <is>
          <t>Forecast</t>
        </is>
      </c>
      <c r="C29" s="11">
        <f>'Billed by rate class'!W11</f>
        <v/>
      </c>
      <c r="D29" s="19" t="n">
        <v>0.2535</v>
      </c>
      <c r="E29" s="11">
        <f>C29*D29/(1-D29)</f>
        <v/>
      </c>
      <c r="F29" s="11">
        <f>C29+E29</f>
        <v/>
      </c>
    </row>
    <row r="30">
      <c r="A30" s="9" t="inlineStr">
        <is>
          <t>Oct 2027</t>
        </is>
      </c>
      <c r="B30" s="10" t="inlineStr">
        <is>
          <t>Forecast</t>
        </is>
      </c>
      <c r="C30" s="11">
        <f>'Billed by rate class'!X11</f>
        <v/>
      </c>
      <c r="D30" s="19" t="n">
        <v>0.2545</v>
      </c>
      <c r="E30" s="11">
        <f>C30*D30/(1-D30)</f>
        <v/>
      </c>
      <c r="F30" s="11">
        <f>C30+E30</f>
        <v/>
      </c>
    </row>
    <row r="31">
      <c r="A31" s="9" t="inlineStr">
        <is>
          <t>Nov 2027</t>
        </is>
      </c>
      <c r="B31" s="10" t="inlineStr">
        <is>
          <t>Forecast</t>
        </is>
      </c>
      <c r="C31" s="11">
        <f>'Billed by rate class'!Y11</f>
        <v/>
      </c>
      <c r="D31" s="19" t="n">
        <v>0.2475</v>
      </c>
      <c r="E31" s="11">
        <f>C31*D31/(1-D31)</f>
        <v/>
      </c>
      <c r="F31" s="11">
        <f>C31+E31</f>
        <v/>
      </c>
    </row>
    <row r="32">
      <c r="A32" s="9" t="inlineStr">
        <is>
          <t>Dec 2027</t>
        </is>
      </c>
      <c r="B32" s="10" t="inlineStr">
        <is>
          <t>Forecast</t>
        </is>
      </c>
      <c r="C32" s="11">
        <f>'Billed by rate class'!Z11</f>
        <v/>
      </c>
      <c r="D32" s="19" t="n">
        <v>0.2834</v>
      </c>
      <c r="E32" s="11">
        <f>C32*D32/(1-D32)</f>
        <v/>
      </c>
      <c r="F32" s="11">
        <f>C32+E32</f>
        <v/>
      </c>
    </row>
    <row r="33">
      <c r="A33" s="14" t="inlineStr">
        <is>
          <t>FY2027</t>
        </is>
      </c>
      <c r="B33" s="15" t="n"/>
      <c r="C33" s="16">
        <f>SUM(C21:C32)</f>
        <v/>
      </c>
      <c r="D33" s="17">
        <f>E33/F33</f>
        <v/>
      </c>
      <c r="E33" s="16">
        <f>SUM(E21:E32)</f>
        <v/>
      </c>
      <c r="F33" s="16">
        <f>SUM(F21:F32)</f>
        <v/>
      </c>
    </row>
    <row r="35">
      <c r="A35" s="9" t="inlineStr">
        <is>
          <t>Jan 2028</t>
        </is>
      </c>
      <c r="B35" s="10" t="inlineStr">
        <is>
          <t>Forecast</t>
        </is>
      </c>
      <c r="C35" s="11">
        <f>'Billed by rate class'!AB11</f>
        <v/>
      </c>
      <c r="D35" s="19" t="n">
        <v>0.2777</v>
      </c>
      <c r="E35" s="11">
        <f>C35*D35/(1-D35)</f>
        <v/>
      </c>
      <c r="F35" s="11">
        <f>C35+E35</f>
        <v/>
      </c>
    </row>
    <row r="36">
      <c r="A36" s="9" t="inlineStr">
        <is>
          <t>Feb 2028</t>
        </is>
      </c>
      <c r="B36" s="10" t="inlineStr">
        <is>
          <t>Forecast</t>
        </is>
      </c>
      <c r="C36" s="11">
        <f>'Billed by rate class'!AC11</f>
        <v/>
      </c>
      <c r="D36" s="19" t="n">
        <v>0.2281</v>
      </c>
      <c r="E36" s="11">
        <f>C36*D36/(1-D36)</f>
        <v/>
      </c>
      <c r="F36" s="11">
        <f>C36+E36</f>
        <v/>
      </c>
    </row>
    <row r="37">
      <c r="A37" s="9" t="inlineStr">
        <is>
          <t>Mar 2028</t>
        </is>
      </c>
      <c r="B37" s="10" t="inlineStr">
        <is>
          <t>Forecast</t>
        </is>
      </c>
      <c r="C37" s="11">
        <f>'Billed by rate class'!AD11</f>
        <v/>
      </c>
      <c r="D37" s="19" t="n">
        <v>0.2933</v>
      </c>
      <c r="E37" s="11">
        <f>C37*D37/(1-D37)</f>
        <v/>
      </c>
      <c r="F37" s="11">
        <f>C37+E37</f>
        <v/>
      </c>
    </row>
    <row r="38">
      <c r="A38" s="9" t="inlineStr">
        <is>
          <t>Apr 2028</t>
        </is>
      </c>
      <c r="B38" s="10" t="inlineStr">
        <is>
          <t>Forecast</t>
        </is>
      </c>
      <c r="C38" s="11">
        <f>'Billed by rate class'!AE11</f>
        <v/>
      </c>
      <c r="D38" s="19" t="n">
        <v>0.2738</v>
      </c>
      <c r="E38" s="11">
        <f>C38*D38/(1-D38)</f>
        <v/>
      </c>
      <c r="F38" s="11">
        <f>C38+E38</f>
        <v/>
      </c>
    </row>
    <row r="39">
      <c r="A39" s="9" t="inlineStr">
        <is>
          <t>May 2028</t>
        </is>
      </c>
      <c r="B39" s="10" t="inlineStr">
        <is>
          <t>Forecast</t>
        </is>
      </c>
      <c r="C39" s="11">
        <f>'Billed by rate class'!AF11</f>
        <v/>
      </c>
      <c r="D39" s="19" t="n">
        <v>0.3071</v>
      </c>
      <c r="E39" s="11">
        <f>C39*D39/(1-D39)</f>
        <v/>
      </c>
      <c r="F39" s="11">
        <f>C39+E39</f>
        <v/>
      </c>
    </row>
    <row r="40">
      <c r="A40" s="9" t="inlineStr">
        <is>
          <t>Jun 2028</t>
        </is>
      </c>
      <c r="B40" s="10" t="inlineStr">
        <is>
          <t>Forecast</t>
        </is>
      </c>
      <c r="C40" s="11">
        <f>'Billed by rate class'!AG11</f>
        <v/>
      </c>
      <c r="D40" s="19" t="n">
        <v>0.2652</v>
      </c>
      <c r="E40" s="11">
        <f>C40*D40/(1-D40)</f>
        <v/>
      </c>
      <c r="F40" s="11">
        <f>C40+E40</f>
        <v/>
      </c>
    </row>
    <row r="41">
      <c r="A41" s="9" t="inlineStr">
        <is>
          <t>Jul 2028</t>
        </is>
      </c>
      <c r="B41" s="10" t="inlineStr">
        <is>
          <t>Forecast</t>
        </is>
      </c>
      <c r="C41" s="11">
        <f>'Billed by rate class'!AH11</f>
        <v/>
      </c>
      <c r="D41" s="19" t="n">
        <v>0.2756</v>
      </c>
      <c r="E41" s="11">
        <f>C41*D41/(1-D41)</f>
        <v/>
      </c>
      <c r="F41" s="11">
        <f>C41+E41</f>
        <v/>
      </c>
    </row>
    <row r="42">
      <c r="A42" s="9" t="inlineStr">
        <is>
          <t>Aug 2028</t>
        </is>
      </c>
      <c r="B42" s="10" t="inlineStr">
        <is>
          <t>Forecast</t>
        </is>
      </c>
      <c r="C42" s="11">
        <f>'Billed by rate class'!AI11</f>
        <v/>
      </c>
      <c r="D42" s="19" t="n">
        <v>0.2821</v>
      </c>
      <c r="E42" s="11">
        <f>C42*D42/(1-D42)</f>
        <v/>
      </c>
      <c r="F42" s="11">
        <f>C42+E42</f>
        <v/>
      </c>
    </row>
    <row r="43">
      <c r="A43" s="9" t="inlineStr">
        <is>
          <t>Sep 2028</t>
        </is>
      </c>
      <c r="B43" s="10" t="inlineStr">
        <is>
          <t>Forecast</t>
        </is>
      </c>
      <c r="C43" s="11">
        <f>'Billed by rate class'!AJ11</f>
        <v/>
      </c>
      <c r="D43" s="19" t="n">
        <v>0.2535</v>
      </c>
      <c r="E43" s="11">
        <f>C43*D43/(1-D43)</f>
        <v/>
      </c>
      <c r="F43" s="11">
        <f>C43+E43</f>
        <v/>
      </c>
    </row>
    <row r="44">
      <c r="A44" s="9" t="inlineStr">
        <is>
          <t>Oct 2028</t>
        </is>
      </c>
      <c r="B44" s="10" t="inlineStr">
        <is>
          <t>Forecast</t>
        </is>
      </c>
      <c r="C44" s="11">
        <f>'Billed by rate class'!AK11</f>
        <v/>
      </c>
      <c r="D44" s="19" t="n">
        <v>0.2545</v>
      </c>
      <c r="E44" s="11">
        <f>C44*D44/(1-D44)</f>
        <v/>
      </c>
      <c r="F44" s="11">
        <f>C44+E44</f>
        <v/>
      </c>
    </row>
    <row r="45">
      <c r="A45" s="9" t="inlineStr">
        <is>
          <t>Nov 2028</t>
        </is>
      </c>
      <c r="B45" s="10" t="inlineStr">
        <is>
          <t>Forecast</t>
        </is>
      </c>
      <c r="C45" s="11">
        <f>'Billed by rate class'!AL11</f>
        <v/>
      </c>
      <c r="D45" s="19" t="n">
        <v>0.2475</v>
      </c>
      <c r="E45" s="11">
        <f>C45*D45/(1-D45)</f>
        <v/>
      </c>
      <c r="F45" s="11">
        <f>C45+E45</f>
        <v/>
      </c>
    </row>
    <row r="46">
      <c r="A46" s="9" t="inlineStr">
        <is>
          <t>Dec 2028</t>
        </is>
      </c>
      <c r="B46" s="10" t="inlineStr">
        <is>
          <t>Forecast</t>
        </is>
      </c>
      <c r="C46" s="11">
        <f>'Billed by rate class'!AM11</f>
        <v/>
      </c>
      <c r="D46" s="19" t="n">
        <v>0.2834</v>
      </c>
      <c r="E46" s="11">
        <f>C46*D46/(1-D46)</f>
        <v/>
      </c>
      <c r="F46" s="11">
        <f>C46+E46</f>
        <v/>
      </c>
    </row>
    <row r="47">
      <c r="A47" s="14" t="inlineStr">
        <is>
          <t>FY2028</t>
        </is>
      </c>
      <c r="B47" s="15" t="n"/>
      <c r="C47" s="16">
        <f>SUM(C35:C46)</f>
        <v/>
      </c>
      <c r="D47" s="17">
        <f>E47/F47</f>
        <v/>
      </c>
      <c r="E47" s="16">
        <f>SUM(E35:E46)</f>
        <v/>
      </c>
      <c r="F47" s="16">
        <f>SUM(F35:F46)</f>
        <v/>
      </c>
    </row>
    <row r="49">
      <c r="A49" s="4" t="inlineStr">
        <is>
          <t>Year on year</t>
        </is>
      </c>
    </row>
    <row r="50">
      <c r="A50" s="20" t="n"/>
      <c r="C50" s="21" t="inlineStr">
        <is>
          <t>Billed sales</t>
        </is>
      </c>
      <c r="F50" s="21" t="inlineStr">
        <is>
          <t>Net generation</t>
        </is>
      </c>
    </row>
    <row r="51">
      <c r="A51" s="4" t="inlineStr">
        <is>
          <t>FY2027 vs FY2026</t>
        </is>
      </c>
      <c r="C51" s="22">
        <f>C33/C17-1</f>
        <v/>
      </c>
      <c r="F51" s="22">
        <f>F33/F17-1</f>
        <v/>
      </c>
    </row>
    <row r="52">
      <c r="A52" s="4" t="inlineStr">
        <is>
          <t>FY2028 vs FY2027</t>
        </is>
      </c>
      <c r="C52" s="22">
        <f>C47/C33-1</f>
        <v/>
      </c>
      <c r="F52" s="22">
        <f>F47/F33-1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4" customWidth="1" min="1" max="1"/>
    <col width="9.5"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11"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11" customWidth="1" min="27" max="27"/>
    <col width="9.5" customWidth="1" min="28" max="28"/>
    <col width="9.5" customWidth="1" min="29" max="29"/>
    <col width="9.5" customWidth="1" min="30" max="30"/>
    <col width="9.5" customWidth="1" min="31" max="31"/>
    <col width="9.5" customWidth="1" min="32" max="32"/>
    <col width="9.5" customWidth="1" min="33" max="33"/>
    <col width="9.5" customWidth="1" min="34" max="34"/>
    <col width="9.5" customWidth="1" min="35" max="35"/>
    <col width="9.5" customWidth="1" min="36" max="36"/>
    <col width="9.5" customWidth="1" min="37" max="37"/>
    <col width="9.5" customWidth="1" min="38" max="38"/>
    <col width="9.5" customWidth="1" min="39" max="39"/>
    <col width="11" customWidth="1" min="40" max="40"/>
  </cols>
  <sheetData>
    <row r="1">
      <c r="A1" s="1" t="inlineStr">
        <is>
          <t>Billed sales by rate class, FY2026 to FY2028 (GWh)</t>
        </is>
      </c>
    </row>
    <row r="2">
      <c r="A2" s="2" t="inlineStr">
        <is>
          <t>January to September 2026 actual. October to December 2026 is set so FY2026 equals the financials LE. 2027 and 2028 per the register.</t>
        </is>
      </c>
    </row>
    <row r="4">
      <c r="A4" s="23" t="inlineStr">
        <is>
          <t>Rate class</t>
        </is>
      </c>
      <c r="B4" s="23" t="inlineStr">
        <is>
          <t>Jan 26</t>
        </is>
      </c>
      <c r="C4" s="23" t="inlineStr">
        <is>
          <t>Feb 26</t>
        </is>
      </c>
      <c r="D4" s="23" t="inlineStr">
        <is>
          <t>Mar 26</t>
        </is>
      </c>
      <c r="E4" s="23" t="inlineStr">
        <is>
          <t>Apr 26</t>
        </is>
      </c>
      <c r="F4" s="23" t="inlineStr">
        <is>
          <t>May 26</t>
        </is>
      </c>
      <c r="G4" s="23" t="inlineStr">
        <is>
          <t>Jun 26</t>
        </is>
      </c>
      <c r="H4" s="23" t="inlineStr">
        <is>
          <t>Jul 26</t>
        </is>
      </c>
      <c r="I4" s="23" t="inlineStr">
        <is>
          <t>Aug 26</t>
        </is>
      </c>
      <c r="J4" s="23" t="inlineStr">
        <is>
          <t>Sep 26</t>
        </is>
      </c>
      <c r="K4" s="24" t="inlineStr">
        <is>
          <t>Oct 26</t>
        </is>
      </c>
      <c r="L4" s="24" t="inlineStr">
        <is>
          <t>Nov 26</t>
        </is>
      </c>
      <c r="M4" s="24" t="inlineStr">
        <is>
          <t>Dec 26</t>
        </is>
      </c>
      <c r="N4" s="25" t="inlineStr">
        <is>
          <t>FY2026</t>
        </is>
      </c>
      <c r="O4" s="24" t="inlineStr">
        <is>
          <t>Jan 27</t>
        </is>
      </c>
      <c r="P4" s="24" t="inlineStr">
        <is>
          <t>Feb 27</t>
        </is>
      </c>
      <c r="Q4" s="24" t="inlineStr">
        <is>
          <t>Mar 27</t>
        </is>
      </c>
      <c r="R4" s="24" t="inlineStr">
        <is>
          <t>Apr 27</t>
        </is>
      </c>
      <c r="S4" s="24" t="inlineStr">
        <is>
          <t>May 27</t>
        </is>
      </c>
      <c r="T4" s="24" t="inlineStr">
        <is>
          <t>Jun 27</t>
        </is>
      </c>
      <c r="U4" s="24" t="inlineStr">
        <is>
          <t>Jul 27</t>
        </is>
      </c>
      <c r="V4" s="24" t="inlineStr">
        <is>
          <t>Aug 27</t>
        </is>
      </c>
      <c r="W4" s="24" t="inlineStr">
        <is>
          <t>Sep 27</t>
        </is>
      </c>
      <c r="X4" s="24" t="inlineStr">
        <is>
          <t>Oct 27</t>
        </is>
      </c>
      <c r="Y4" s="24" t="inlineStr">
        <is>
          <t>Nov 27</t>
        </is>
      </c>
      <c r="Z4" s="24" t="inlineStr">
        <is>
          <t>Dec 27</t>
        </is>
      </c>
      <c r="AA4" s="25" t="inlineStr">
        <is>
          <t>FY2027</t>
        </is>
      </c>
      <c r="AB4" s="24" t="inlineStr">
        <is>
          <t>Jan 28</t>
        </is>
      </c>
      <c r="AC4" s="24" t="inlineStr">
        <is>
          <t>Feb 28</t>
        </is>
      </c>
      <c r="AD4" s="24" t="inlineStr">
        <is>
          <t>Mar 28</t>
        </is>
      </c>
      <c r="AE4" s="24" t="inlineStr">
        <is>
          <t>Apr 28</t>
        </is>
      </c>
      <c r="AF4" s="24" t="inlineStr">
        <is>
          <t>May 28</t>
        </is>
      </c>
      <c r="AG4" s="24" t="inlineStr">
        <is>
          <t>Jun 28</t>
        </is>
      </c>
      <c r="AH4" s="24" t="inlineStr">
        <is>
          <t>Jul 28</t>
        </is>
      </c>
      <c r="AI4" s="24" t="inlineStr">
        <is>
          <t>Aug 28</t>
        </is>
      </c>
      <c r="AJ4" s="24" t="inlineStr">
        <is>
          <t>Sep 28</t>
        </is>
      </c>
      <c r="AK4" s="24" t="inlineStr">
        <is>
          <t>Oct 28</t>
        </is>
      </c>
      <c r="AL4" s="24" t="inlineStr">
        <is>
          <t>Nov 28</t>
        </is>
      </c>
      <c r="AM4" s="24" t="inlineStr">
        <is>
          <t>Dec 28</t>
        </is>
      </c>
      <c r="AN4" s="25" t="inlineStr">
        <is>
          <t>FY2028</t>
        </is>
      </c>
    </row>
    <row r="5">
      <c r="A5" s="4" t="inlineStr">
        <is>
          <t>RT10 Residential</t>
        </is>
      </c>
      <c r="B5" s="8" t="n">
        <v>84.42734642000001</v>
      </c>
      <c r="C5" s="8" t="n">
        <v>76.48914057</v>
      </c>
      <c r="D5" s="8" t="n">
        <v>88.2777323</v>
      </c>
      <c r="E5" s="8" t="n">
        <v>87.17565292000002</v>
      </c>
      <c r="F5" s="8" t="n">
        <v>99.08140734999999</v>
      </c>
      <c r="G5" s="8" t="n">
        <v>101.30012018</v>
      </c>
      <c r="H5" s="8" t="n">
        <v>113.61298613</v>
      </c>
      <c r="I5" s="8" t="n">
        <v>117.67104177</v>
      </c>
      <c r="J5" s="8" t="n">
        <v>114.56597173</v>
      </c>
      <c r="K5" s="8" t="n">
        <v>115.2665352524384</v>
      </c>
      <c r="L5" s="8" t="n">
        <v>113.3176584759318</v>
      </c>
      <c r="M5" s="8" t="n">
        <v>111.579149253712</v>
      </c>
      <c r="N5" s="26">
        <f>SUM(B5:M5)</f>
        <v/>
      </c>
      <c r="O5" s="8" t="n">
        <v>99.48206999999999</v>
      </c>
      <c r="P5" s="8" t="n">
        <v>94.597041</v>
      </c>
      <c r="Q5" s="8" t="n">
        <v>97.684066</v>
      </c>
      <c r="R5" s="8" t="n">
        <v>97.87601100000001</v>
      </c>
      <c r="S5" s="8" t="n">
        <v>103.622665</v>
      </c>
      <c r="T5" s="8" t="n">
        <v>110.79494</v>
      </c>
      <c r="U5" s="8" t="n">
        <v>115.533429</v>
      </c>
      <c r="V5" s="8" t="n">
        <v>122.141581</v>
      </c>
      <c r="W5" s="8" t="n">
        <v>118.219142</v>
      </c>
      <c r="X5" s="8" t="n">
        <v>112.535879</v>
      </c>
      <c r="Y5" s="8" t="n">
        <v>98.622924</v>
      </c>
      <c r="Z5" s="8" t="n">
        <v>103.890252</v>
      </c>
      <c r="AA5" s="26">
        <f>SUM(O5:Z5)</f>
        <v/>
      </c>
      <c r="AB5" s="8" t="n">
        <v>103.455567</v>
      </c>
      <c r="AC5" s="8" t="n">
        <v>96.409453</v>
      </c>
      <c r="AD5" s="8" t="n">
        <v>100.660282</v>
      </c>
      <c r="AE5" s="8" t="n">
        <v>100.540141</v>
      </c>
      <c r="AF5" s="8" t="n">
        <v>106.066583</v>
      </c>
      <c r="AG5" s="8" t="n">
        <v>113.922914</v>
      </c>
      <c r="AH5" s="8" t="n">
        <v>118.734364</v>
      </c>
      <c r="AI5" s="8" t="n">
        <v>125.627469</v>
      </c>
      <c r="AJ5" s="8" t="n">
        <v>121.466878</v>
      </c>
      <c r="AK5" s="8" t="n">
        <v>115.402483</v>
      </c>
      <c r="AL5" s="8" t="n">
        <v>100.665772</v>
      </c>
      <c r="AM5" s="8" t="n">
        <v>106.348094</v>
      </c>
      <c r="AN5" s="26">
        <f>SUM(AB5:AM5)</f>
        <v/>
      </c>
    </row>
    <row r="6">
      <c r="A6" s="4" t="inlineStr">
        <is>
          <t>RT20 Small commercial</t>
        </is>
      </c>
      <c r="B6" s="8" t="n">
        <v>44.38871362999999</v>
      </c>
      <c r="C6" s="8" t="n">
        <v>41.87269624999997</v>
      </c>
      <c r="D6" s="8" t="n">
        <v>49.67816538000001</v>
      </c>
      <c r="E6" s="8" t="n">
        <v>47.36231162000002</v>
      </c>
      <c r="F6" s="8" t="n">
        <v>55.46312984</v>
      </c>
      <c r="G6" s="8" t="n">
        <v>55.12542065000004</v>
      </c>
      <c r="H6" s="8" t="n">
        <v>60.64423210999998</v>
      </c>
      <c r="I6" s="8" t="n">
        <v>60.61012749000005</v>
      </c>
      <c r="J6" s="8" t="n">
        <v>60.61757065999996</v>
      </c>
      <c r="K6" s="8" t="n">
        <v>60.7015108694302</v>
      </c>
      <c r="L6" s="8" t="n">
        <v>59.39272794600746</v>
      </c>
      <c r="M6" s="8" t="n">
        <v>58.81579101238938</v>
      </c>
      <c r="N6" s="26">
        <f>SUM(B6:M6)</f>
        <v/>
      </c>
      <c r="O6" s="8" t="n">
        <v>51.505595</v>
      </c>
      <c r="P6" s="8" t="n">
        <v>53.157163</v>
      </c>
      <c r="Q6" s="8" t="n">
        <v>55.364368</v>
      </c>
      <c r="R6" s="8" t="n">
        <v>53.858815</v>
      </c>
      <c r="S6" s="8" t="n">
        <v>56.163029</v>
      </c>
      <c r="T6" s="8" t="n">
        <v>59.867633</v>
      </c>
      <c r="U6" s="8" t="n">
        <v>62.135541</v>
      </c>
      <c r="V6" s="8" t="n">
        <v>62.517573</v>
      </c>
      <c r="W6" s="8" t="n">
        <v>62.15255</v>
      </c>
      <c r="X6" s="8" t="n">
        <v>61.744813</v>
      </c>
      <c r="Y6" s="8" t="n">
        <v>55.499951</v>
      </c>
      <c r="Z6" s="8" t="n">
        <v>57.632969</v>
      </c>
      <c r="AA6" s="26">
        <f>SUM(O6:Z6)</f>
        <v/>
      </c>
      <c r="AB6" s="8" t="n">
        <v>55.109458</v>
      </c>
      <c r="AC6" s="8" t="n">
        <v>55.887713</v>
      </c>
      <c r="AD6" s="8" t="n">
        <v>58.55759</v>
      </c>
      <c r="AE6" s="8" t="n">
        <v>55.287698</v>
      </c>
      <c r="AF6" s="8" t="n">
        <v>57.302576</v>
      </c>
      <c r="AG6" s="8" t="n">
        <v>61.182881</v>
      </c>
      <c r="AH6" s="8" t="n">
        <v>63.263962</v>
      </c>
      <c r="AI6" s="8" t="n">
        <v>63.533791</v>
      </c>
      <c r="AJ6" s="8" t="n">
        <v>62.881261</v>
      </c>
      <c r="AK6" s="8" t="n">
        <v>62.235153</v>
      </c>
      <c r="AL6" s="8" t="n">
        <v>55.534478</v>
      </c>
      <c r="AM6" s="8" t="n">
        <v>57.623439</v>
      </c>
      <c r="AN6" s="26">
        <f>SUM(AB6:AM6)</f>
        <v/>
      </c>
    </row>
    <row r="7">
      <c r="A7" s="4" t="inlineStr">
        <is>
          <t>RT40 Commercial</t>
        </is>
      </c>
      <c r="B7" s="8" t="n">
        <v>56.013982</v>
      </c>
      <c r="C7" s="8" t="n">
        <v>52.824365</v>
      </c>
      <c r="D7" s="8" t="n">
        <v>61.689786</v>
      </c>
      <c r="E7" s="8" t="n">
        <v>59.597985</v>
      </c>
      <c r="F7" s="8" t="n">
        <v>65.913616</v>
      </c>
      <c r="G7" s="8" t="n">
        <v>64.39224400000001</v>
      </c>
      <c r="H7" s="8" t="n">
        <v>70.139337</v>
      </c>
      <c r="I7" s="8" t="n">
        <v>71.882555</v>
      </c>
      <c r="J7" s="8" t="n">
        <v>67.312952</v>
      </c>
      <c r="K7" s="8" t="n">
        <v>67.7523173531865</v>
      </c>
      <c r="L7" s="8" t="n">
        <v>67.51150444354212</v>
      </c>
      <c r="M7" s="8" t="n">
        <v>66.88282483926558</v>
      </c>
      <c r="N7" s="26">
        <f>SUM(B7:M7)</f>
        <v/>
      </c>
      <c r="O7" s="8" t="n">
        <v>69.08125</v>
      </c>
      <c r="P7" s="8" t="n">
        <v>69.907191</v>
      </c>
      <c r="Q7" s="8" t="n">
        <v>69.669746</v>
      </c>
      <c r="R7" s="8" t="n">
        <v>69.897926</v>
      </c>
      <c r="S7" s="8" t="n">
        <v>70.101411</v>
      </c>
      <c r="T7" s="8" t="n">
        <v>70.070454</v>
      </c>
      <c r="U7" s="8" t="n">
        <v>69.92195</v>
      </c>
      <c r="V7" s="8" t="n">
        <v>69.98939799999999</v>
      </c>
      <c r="W7" s="8" t="n">
        <v>70.02924899999999</v>
      </c>
      <c r="X7" s="8" t="n">
        <v>70.030447</v>
      </c>
      <c r="Y7" s="8" t="n">
        <v>70.03463499999999</v>
      </c>
      <c r="Z7" s="8" t="n">
        <v>69.866343</v>
      </c>
      <c r="AA7" s="26">
        <f>SUM(O7:Z7)</f>
        <v/>
      </c>
      <c r="AB7" s="8" t="n">
        <v>69.94242199999999</v>
      </c>
      <c r="AC7" s="8" t="n">
        <v>69.875018</v>
      </c>
      <c r="AD7" s="8" t="n">
        <v>69.785509</v>
      </c>
      <c r="AE7" s="8" t="n">
        <v>69.900605</v>
      </c>
      <c r="AF7" s="8" t="n">
        <v>69.714698</v>
      </c>
      <c r="AG7" s="8" t="n">
        <v>69.64454000000001</v>
      </c>
      <c r="AH7" s="8" t="n">
        <v>69.594661</v>
      </c>
      <c r="AI7" s="8" t="n">
        <v>69.49901</v>
      </c>
      <c r="AJ7" s="8" t="n">
        <v>69.436043</v>
      </c>
      <c r="AK7" s="8" t="n">
        <v>69.375381</v>
      </c>
      <c r="AL7" s="8" t="n">
        <v>69.2817</v>
      </c>
      <c r="AM7" s="8" t="n">
        <v>69.25041299999999</v>
      </c>
      <c r="AN7" s="26">
        <f>SUM(AB7:AM7)</f>
        <v/>
      </c>
    </row>
    <row r="8">
      <c r="A8" s="4" t="inlineStr">
        <is>
          <t>RT50 Large commercial</t>
        </is>
      </c>
      <c r="B8" s="8" t="n">
        <v>26.723901</v>
      </c>
      <c r="C8" s="8" t="n">
        <v>26.71247</v>
      </c>
      <c r="D8" s="8" t="n">
        <v>29.77987</v>
      </c>
      <c r="E8" s="8" t="n">
        <v>28.362025</v>
      </c>
      <c r="F8" s="8" t="n">
        <v>30.151229</v>
      </c>
      <c r="G8" s="8" t="n">
        <v>28.210033</v>
      </c>
      <c r="H8" s="8" t="n">
        <v>28.679193</v>
      </c>
      <c r="I8" s="8" t="n">
        <v>30.677402</v>
      </c>
      <c r="J8" s="8" t="n">
        <v>30.252675</v>
      </c>
      <c r="K8" s="8" t="n">
        <v>28.62508398489941</v>
      </c>
      <c r="L8" s="8" t="n">
        <v>28.85028560338845</v>
      </c>
      <c r="M8" s="8" t="n">
        <v>28.6270422598428</v>
      </c>
      <c r="N8" s="26">
        <f>SUM(B8:M8)</f>
        <v/>
      </c>
      <c r="O8" s="8" t="n">
        <v>30.013545</v>
      </c>
      <c r="P8" s="8" t="n">
        <v>30.722989</v>
      </c>
      <c r="Q8" s="8" t="n">
        <v>31.225085</v>
      </c>
      <c r="R8" s="8" t="n">
        <v>31.997182</v>
      </c>
      <c r="S8" s="8" t="n">
        <v>32.676844</v>
      </c>
      <c r="T8" s="8" t="n">
        <v>33.119429</v>
      </c>
      <c r="U8" s="8" t="n">
        <v>33.715263</v>
      </c>
      <c r="V8" s="8" t="n">
        <v>34.299974</v>
      </c>
      <c r="W8" s="8" t="n">
        <v>34.86411</v>
      </c>
      <c r="X8" s="8" t="n">
        <v>35.44622</v>
      </c>
      <c r="Y8" s="8" t="n">
        <v>36.0577</v>
      </c>
      <c r="Z8" s="8" t="n">
        <v>36.661659</v>
      </c>
      <c r="AA8" s="26">
        <f>SUM(O8:Z8)</f>
        <v/>
      </c>
      <c r="AB8" s="8" t="n">
        <v>36.010428</v>
      </c>
      <c r="AC8" s="8" t="n">
        <v>36.201241</v>
      </c>
      <c r="AD8" s="8" t="n">
        <v>36.252398</v>
      </c>
      <c r="AE8" s="8" t="n">
        <v>36.12001</v>
      </c>
      <c r="AF8" s="8" t="n">
        <v>36.15773</v>
      </c>
      <c r="AG8" s="8" t="n">
        <v>36.144627</v>
      </c>
      <c r="AH8" s="8" t="n">
        <v>36.110197</v>
      </c>
      <c r="AI8" s="8" t="n">
        <v>36.108297</v>
      </c>
      <c r="AJ8" s="8" t="n">
        <v>36.093249</v>
      </c>
      <c r="AK8" s="8" t="n">
        <v>36.077564</v>
      </c>
      <c r="AL8" s="8" t="n">
        <v>36.068108</v>
      </c>
      <c r="AM8" s="8" t="n">
        <v>36.056151</v>
      </c>
      <c r="AN8" s="26">
        <f>SUM(AB8:AM8)</f>
        <v/>
      </c>
    </row>
    <row r="9">
      <c r="A9" s="4" t="inlineStr">
        <is>
          <t>RT60 Street lighting</t>
        </is>
      </c>
      <c r="B9" s="8" t="n">
        <v>2.224345</v>
      </c>
      <c r="C9" s="8" t="n">
        <v>2.309941</v>
      </c>
      <c r="D9" s="8" t="n">
        <v>3.098902</v>
      </c>
      <c r="E9" s="8" t="n">
        <v>3.413243</v>
      </c>
      <c r="F9" s="8" t="n">
        <v>2.798277</v>
      </c>
      <c r="G9" s="8" t="n">
        <v>3.409919</v>
      </c>
      <c r="H9" s="8" t="n">
        <v>3.409214</v>
      </c>
      <c r="I9" s="8" t="n">
        <v>3.413417</v>
      </c>
      <c r="J9" s="8" t="n">
        <v>3.413193</v>
      </c>
      <c r="K9" s="8" t="n">
        <v>3.337776636579791</v>
      </c>
      <c r="L9" s="8" t="n">
        <v>3.329831913850651</v>
      </c>
      <c r="M9" s="8" t="n">
        <v>3.310963197368944</v>
      </c>
      <c r="N9" s="26">
        <f>SUM(B9:M9)</f>
        <v/>
      </c>
      <c r="O9" s="8" t="n">
        <v>3.338606</v>
      </c>
      <c r="P9" s="8" t="n">
        <v>3.334042</v>
      </c>
      <c r="Q9" s="8" t="n">
        <v>3.336247</v>
      </c>
      <c r="R9" s="8" t="n">
        <v>3.331506</v>
      </c>
      <c r="S9" s="8" t="n">
        <v>3.331543</v>
      </c>
      <c r="T9" s="8" t="n">
        <v>3.323479</v>
      </c>
      <c r="U9" s="8" t="n">
        <v>3.317737</v>
      </c>
      <c r="V9" s="8" t="n">
        <v>3.3119</v>
      </c>
      <c r="W9" s="8" t="n">
        <v>3.305376</v>
      </c>
      <c r="X9" s="8" t="n">
        <v>3.297015</v>
      </c>
      <c r="Y9" s="8" t="n">
        <v>3.291095</v>
      </c>
      <c r="Z9" s="8" t="n">
        <v>3.281454</v>
      </c>
      <c r="AA9" s="26">
        <f>SUM(O9:Z9)</f>
        <v/>
      </c>
      <c r="AB9" s="8" t="n">
        <v>3.274143</v>
      </c>
      <c r="AC9" s="8" t="n">
        <v>3.266796</v>
      </c>
      <c r="AD9" s="8" t="n">
        <v>3.258975</v>
      </c>
      <c r="AE9" s="8" t="n">
        <v>3.251757</v>
      </c>
      <c r="AF9" s="8" t="n">
        <v>3.24433</v>
      </c>
      <c r="AG9" s="8" t="n">
        <v>3.236875</v>
      </c>
      <c r="AH9" s="8" t="n">
        <v>3.229543</v>
      </c>
      <c r="AI9" s="8" t="n">
        <v>3.222173</v>
      </c>
      <c r="AJ9" s="8" t="n">
        <v>3.21482</v>
      </c>
      <c r="AK9" s="8" t="n">
        <v>3.207502</v>
      </c>
      <c r="AL9" s="8" t="n">
        <v>3.20019</v>
      </c>
      <c r="AM9" s="8" t="n">
        <v>3.192896</v>
      </c>
      <c r="AN9" s="26">
        <f>SUM(AB9:AM9)</f>
        <v/>
      </c>
    </row>
    <row r="10">
      <c r="A10" s="4" t="inlineStr">
        <is>
          <t>RT70 Industrial</t>
        </is>
      </c>
      <c r="B10" s="8" t="n">
        <v>20.371321</v>
      </c>
      <c r="C10" s="8" t="n">
        <v>21.088523</v>
      </c>
      <c r="D10" s="8" t="n">
        <v>26.19399</v>
      </c>
      <c r="E10" s="8" t="n">
        <v>24.727332</v>
      </c>
      <c r="F10" s="8" t="n">
        <v>27.726514</v>
      </c>
      <c r="G10" s="8" t="n">
        <v>26.848147</v>
      </c>
      <c r="H10" s="8" t="n">
        <v>28.562426</v>
      </c>
      <c r="I10" s="8" t="n">
        <v>19.707587</v>
      </c>
      <c r="J10" s="8" t="n">
        <v>18.642652</v>
      </c>
      <c r="K10" s="8" t="n">
        <v>18.28668716665977</v>
      </c>
      <c r="L10" s="8" t="n">
        <v>17.67469217551778</v>
      </c>
      <c r="M10" s="8" t="n">
        <v>17.36029087150622</v>
      </c>
      <c r="N10" s="26">
        <f>SUM(B10:M10)</f>
        <v/>
      </c>
      <c r="O10" s="8" t="n">
        <v>15.542829</v>
      </c>
      <c r="P10" s="8" t="n">
        <v>15.371199</v>
      </c>
      <c r="Q10" s="8" t="n">
        <v>16.188143</v>
      </c>
      <c r="R10" s="8" t="n">
        <v>16.500619</v>
      </c>
      <c r="S10" s="8" t="n">
        <v>16.508318</v>
      </c>
      <c r="T10" s="8" t="n">
        <v>16.528448</v>
      </c>
      <c r="U10" s="8" t="n">
        <v>16.214993</v>
      </c>
      <c r="V10" s="8" t="n">
        <v>16.19756</v>
      </c>
      <c r="W10" s="8" t="n">
        <v>16.184073</v>
      </c>
      <c r="X10" s="8" t="n">
        <v>16.154977</v>
      </c>
      <c r="Y10" s="8" t="n">
        <v>16.158884</v>
      </c>
      <c r="Z10" s="8" t="n">
        <v>16.149957</v>
      </c>
      <c r="AA10" s="26">
        <f>SUM(O10:Z10)</f>
        <v/>
      </c>
      <c r="AB10" s="8" t="n">
        <v>16.002632</v>
      </c>
      <c r="AC10" s="8" t="n">
        <v>15.977772</v>
      </c>
      <c r="AD10" s="8" t="n">
        <v>15.957939</v>
      </c>
      <c r="AE10" s="8" t="n">
        <v>15.892773</v>
      </c>
      <c r="AF10" s="8" t="n">
        <v>15.856544</v>
      </c>
      <c r="AG10" s="8" t="n">
        <v>15.816613</v>
      </c>
      <c r="AH10" s="8" t="n">
        <v>15.769857</v>
      </c>
      <c r="AI10" s="8" t="n">
        <v>15.729291</v>
      </c>
      <c r="AJ10" s="8" t="n">
        <v>15.687283</v>
      </c>
      <c r="AK10" s="8" t="n">
        <v>15.644558</v>
      </c>
      <c r="AL10" s="8" t="n">
        <v>15.603189</v>
      </c>
      <c r="AM10" s="8" t="n">
        <v>15.561549</v>
      </c>
      <c r="AN10" s="26">
        <f>SUM(AB10:AM10)</f>
        <v/>
      </c>
    </row>
    <row r="11">
      <c r="A11" s="14" t="inlineStr">
        <is>
          <t>Total billed sales</t>
        </is>
      </c>
      <c r="B11" s="16">
        <f>SUM(B5:B10)</f>
        <v/>
      </c>
      <c r="C11" s="16">
        <f>SUM(C5:C10)</f>
        <v/>
      </c>
      <c r="D11" s="16">
        <f>SUM(D5:D10)</f>
        <v/>
      </c>
      <c r="E11" s="16">
        <f>SUM(E5:E10)</f>
        <v/>
      </c>
      <c r="F11" s="16">
        <f>SUM(F5:F10)</f>
        <v/>
      </c>
      <c r="G11" s="16">
        <f>SUM(G5:G10)</f>
        <v/>
      </c>
      <c r="H11" s="16">
        <f>SUM(H5:H10)</f>
        <v/>
      </c>
      <c r="I11" s="16">
        <f>SUM(I5:I10)</f>
        <v/>
      </c>
      <c r="J11" s="16">
        <f>SUM(J5:J10)</f>
        <v/>
      </c>
      <c r="K11" s="16">
        <f>SUM(K5:K10)</f>
        <v/>
      </c>
      <c r="L11" s="16">
        <f>SUM(L5:L10)</f>
        <v/>
      </c>
      <c r="M11" s="16">
        <f>SUM(M5:M10)</f>
        <v/>
      </c>
      <c r="N11" s="16">
        <f>SUM(N5:N10)</f>
        <v/>
      </c>
      <c r="O11" s="16">
        <f>SUM(O5:O10)</f>
        <v/>
      </c>
      <c r="P11" s="16">
        <f>SUM(P5:P10)</f>
        <v/>
      </c>
      <c r="Q11" s="16">
        <f>SUM(Q5:Q10)</f>
        <v/>
      </c>
      <c r="R11" s="16">
        <f>SUM(R5:R10)</f>
        <v/>
      </c>
      <c r="S11" s="16">
        <f>SUM(S5:S10)</f>
        <v/>
      </c>
      <c r="T11" s="16">
        <f>SUM(T5:T10)</f>
        <v/>
      </c>
      <c r="U11" s="16">
        <f>SUM(U5:U10)</f>
        <v/>
      </c>
      <c r="V11" s="16">
        <f>SUM(V5:V10)</f>
        <v/>
      </c>
      <c r="W11" s="16">
        <f>SUM(W5:W10)</f>
        <v/>
      </c>
      <c r="X11" s="16">
        <f>SUM(X5:X10)</f>
        <v/>
      </c>
      <c r="Y11" s="16">
        <f>SUM(Y5:Y10)</f>
        <v/>
      </c>
      <c r="Z11" s="16">
        <f>SUM(Z5:Z10)</f>
        <v/>
      </c>
      <c r="AA11" s="16">
        <f>SUM(AA5:AA10)</f>
        <v/>
      </c>
      <c r="AB11" s="16">
        <f>SUM(AB5:AB10)</f>
        <v/>
      </c>
      <c r="AC11" s="16">
        <f>SUM(AC5:AC10)</f>
        <v/>
      </c>
      <c r="AD11" s="16">
        <f>SUM(AD5:AD10)</f>
        <v/>
      </c>
      <c r="AE11" s="16">
        <f>SUM(AE5:AE10)</f>
        <v/>
      </c>
      <c r="AF11" s="16">
        <f>SUM(AF5:AF10)</f>
        <v/>
      </c>
      <c r="AG11" s="16">
        <f>SUM(AG5:AG10)</f>
        <v/>
      </c>
      <c r="AH11" s="16">
        <f>SUM(AH5:AH10)</f>
        <v/>
      </c>
      <c r="AI11" s="16">
        <f>SUM(AI5:AI10)</f>
        <v/>
      </c>
      <c r="AJ11" s="16">
        <f>SUM(AJ5:AJ10)</f>
        <v/>
      </c>
      <c r="AK11" s="16">
        <f>SUM(AK5:AK10)</f>
        <v/>
      </c>
      <c r="AL11" s="16">
        <f>SUM(AL5:AL10)</f>
        <v/>
      </c>
      <c r="AM11" s="16">
        <f>SUM(AM5:AM10)</f>
        <v/>
      </c>
      <c r="AN11" s="16">
        <f>SUM(AN5:AN10)</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27" t="inlineStr">
        <is>
          <t>FY2026</t>
        </is>
      </c>
    </row>
    <row r="2">
      <c r="A2" s="28" t="inlineStr">
        <is>
          <t>Billed sales are actual customer-billed volumes for January to September. October to December are set so the full year equals the financials LE of 3,299.7 GWh, using the register split by rate class and month.</t>
        </is>
      </c>
    </row>
    <row r="3">
      <c r="A3" s="28" t="inlineStr">
        <is>
          <t>Net generation for January to August is the actual in the financials. September (407.7 GWh) is an estimate read from the System Operations monthly chart and calibrated to the financials net generation, accurate to about 1 GWh; replace it with the actual when issued. October to December are set so the full year equals the financials LE of 4,527.0 GWh, on the financials plan shape.</t>
        </is>
      </c>
    </row>
    <row r="4">
      <c r="A4" s="28" t="inlineStr">
        <is>
          <t>FY2026 loss on billed sales and net generation is 27.11%.</t>
        </is>
      </c>
    </row>
    <row r="5">
      <c r="A5" s="28" t="inlineStr"/>
    </row>
    <row r="6">
      <c r="A6" s="27" t="inlineStr">
        <is>
          <t>FY2027 and FY2028</t>
        </is>
      </c>
    </row>
    <row r="7">
      <c r="A7" s="28" t="inlineStr">
        <is>
          <t>Billed sales are as in the register and Driver Report. Losses follow the seasonal monthly path in the platform assumptions, closing each year at about 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2026-10-21T15:55:31Z</dcterms:created>
  <dcterms:modified xmlns:dcterms="http://purl.org/dc/terms/" xmlns:xsi="http://www.w3.org/2001/XMLSchema-instance" xsi:type="dcterms:W3CDTF">2026-10-21T15:55:31Z</dcterms:modified>
</cp:coreProperties>
</file>