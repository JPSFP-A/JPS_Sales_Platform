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sheetId="1" state="visible" r:id="rId1"/>
    <sheet xmlns:r="http://schemas.openxmlformats.org/officeDocument/2006/relationships" name="Inputs" sheetId="2" state="visible" r:id="rId2"/>
    <sheet xmlns:r="http://schemas.openxmlformats.org/officeDocument/2006/relationships" name="Sep vs budget" sheetId="3" state="visible" r:id="rId3"/>
    <sheet xmlns:r="http://schemas.openxmlformats.org/officeDocument/2006/relationships" name="Sep vs prior year" sheetId="4" state="visible" r:id="rId4"/>
    <sheet xmlns:r="http://schemas.openxmlformats.org/officeDocument/2006/relationships" name="YTD vs budget" sheetId="5" state="visible" r:id="rId5"/>
    <sheet xmlns:r="http://schemas.openxmlformats.org/officeDocument/2006/relationships" name="YTD vs prior year" sheetId="6" state="visible" r:id="rId6"/>
  </sheets>
  <definedNames/>
  <calcPr calcId="124519" fullCalcOnLoad="1"/>
</workbook>
</file>

<file path=xl/styles.xml><?xml version="1.0" encoding="utf-8"?>
<styleSheet xmlns="http://schemas.openxmlformats.org/spreadsheetml/2006/main">
  <numFmts count="6">
    <numFmt numFmtId="164" formatCode="#,##0.000"/>
    <numFmt numFmtId="165" formatCode="#,##0;[Red]-#,##0"/>
    <numFmt numFmtId="166" formatCode="0.0%;[Red]-0.0%"/>
    <numFmt numFmtId="167" formatCode="0.0000"/>
    <numFmt numFmtId="168" formatCode="0.000"/>
    <numFmt numFmtId="169" formatCode="0.0%"/>
  </numFmts>
  <fonts count="5">
    <font>
      <name val="Calibri"/>
      <family val="2"/>
      <color theme="1"/>
      <sz val="11"/>
      <scheme val="minor"/>
    </font>
    <font>
      <b val="1"/>
      <sz val="13"/>
    </font>
    <font>
      <b val="1"/>
    </font>
    <font>
      <b val="1"/>
      <color rgb="00FFFFFF"/>
    </font>
    <font>
      <sz val="11"/>
    </font>
  </fonts>
  <fills count="6">
    <fill>
      <patternFill/>
    </fill>
    <fill>
      <patternFill patternType="gray125"/>
    </fill>
    <fill>
      <patternFill patternType="solid">
        <fgColor rgb="001F3864"/>
      </patternFill>
    </fill>
    <fill>
      <patternFill patternType="solid">
        <fgColor rgb="00DDEBF7"/>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4" fillId="0" borderId="0" applyAlignment="1" pivotButton="0" quotePrefix="0" xfId="0">
      <alignment vertical="top" wrapText="1"/>
    </xf>
    <xf numFmtId="0" fontId="1" fillId="0" borderId="0" pivotButton="0" quotePrefix="0" xfId="0"/>
    <xf numFmtId="0" fontId="2" fillId="0" borderId="0" pivotButton="0" quotePrefix="0" xfId="0"/>
    <xf numFmtId="0" fontId="3" fillId="2" borderId="0" applyAlignment="1" pivotButton="0" quotePrefix="0" xfId="0">
      <alignment horizontal="center" wrapText="1"/>
    </xf>
    <xf numFmtId="3" fontId="0" fillId="3" borderId="0" pivotButton="0" quotePrefix="0" xfId="0"/>
    <xf numFmtId="164" fontId="0" fillId="3" borderId="0" pivotButton="0" quotePrefix="0" xfId="0"/>
    <xf numFmtId="0" fontId="0" fillId="3" borderId="0" pivotButton="0" quotePrefix="0" xfId="0"/>
    <xf numFmtId="0" fontId="0" fillId="0" borderId="0" applyAlignment="1" pivotButton="0" quotePrefix="0" xfId="0">
      <alignment vertical="top" wrapText="1"/>
    </xf>
    <xf numFmtId="0" fontId="3" fillId="2" borderId="0" pivotButton="0" quotePrefix="0" xfId="0"/>
    <xf numFmtId="165" fontId="0" fillId="3" borderId="0" pivotButton="0" quotePrefix="0" xfId="0"/>
    <xf numFmtId="165" fontId="0" fillId="0" borderId="0" pivotButton="0" quotePrefix="0" xfId="0"/>
    <xf numFmtId="166" fontId="0" fillId="0" borderId="0" pivotButton="0" quotePrefix="0" xfId="0"/>
    <xf numFmtId="164" fontId="0" fillId="0" borderId="0" pivotButton="0" quotePrefix="0" xfId="0"/>
    <xf numFmtId="165" fontId="2" fillId="0" borderId="0" pivotButton="0" quotePrefix="0" xfId="0"/>
    <xf numFmtId="167" fontId="0" fillId="0" borderId="0" pivotButton="0" quotePrefix="0" xfId="0"/>
    <xf numFmtId="4" fontId="0" fillId="0" borderId="0" pivotButton="0" quotePrefix="0" xfId="0"/>
    <xf numFmtId="168" fontId="0" fillId="4" borderId="0" pivotButton="0" quotePrefix="0" xfId="0"/>
    <xf numFmtId="169" fontId="0" fillId="0" borderId="0" pivotButton="0" quotePrefix="0" xfId="0"/>
    <xf numFmtId="165" fontId="0" fillId="5" borderId="0" pivotButton="0" quotePrefix="0" xfId="0"/>
    <xf numFmtId="165" fontId="2" fillId="4" borderId="0" pivotButton="0" quotePrefix="0" xfId="0"/>
    <xf numFmtId="168"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50" customWidth="1" min="1" max="1"/>
  </cols>
  <sheetData>
    <row r="1" ht="24" customHeight="1">
      <c r="A1" s="1" t="inlineStr">
        <is>
          <t>Non-fuel revenue walk, September 2026</t>
        </is>
      </c>
    </row>
    <row r="2" ht="50" customHeight="1">
      <c r="A2" s="2" t="inlineStr">
        <is>
          <t>Non-fuel revenue = Energy line (energy + demand + F/X) + Customer charge, from the finance Revenues sheet. The walk explains the variance in five pieces:</t>
        </is>
      </c>
    </row>
    <row r="3" ht="50" customHeight="1">
      <c r="A3" s="2" t="inlineStr">
        <is>
          <t>Customer charge: the fixed monthly charge per customer. It moves with the number of customers, not with kWh.</t>
        </is>
      </c>
    </row>
    <row r="4" ht="50" customHeight="1">
      <c r="A4" s="2" t="inlineStr">
        <is>
          <t>Volume: total normalized sales (MWh) above or below the comparison, valued at the comparison average rate. Only the change in how much was sold.</t>
        </is>
      </c>
    </row>
    <row r="5" ht="50" customHeight="1">
      <c r="A5" s="2" t="inlineStr">
        <is>
          <t>Mix: the shift of those MWh between rate classes. Classes earn different amounts per kWh (RT10 earns the most, RT50 the least), so selling relatively more RT10 raises the average even if nothing is repriced. It is between-class.</t>
        </is>
      </c>
    </row>
    <row r="6" ht="50" customHeight="1">
      <c r="A6" s="2" t="inlineStr">
        <is>
          <t>FX: the change in US$ revenue from J$ billing at a different exchange rate. Estimated from the billing FX rates, scaled to the share of revenue finance shows as FX-exposed (their YTD FX bar of US$89K).</t>
        </is>
      </c>
    </row>
    <row r="7" ht="50" customHeight="1">
      <c r="A7" s="2" t="inlineStr">
        <is>
          <t>Other yield: what is left of the per-kWh change after FX. It is within-class: customers moving up the residential consumption blocks, demand (kVA) billing, indexation and billing/accrual timing. There has been no base-rate increase; this is not a price change.</t>
        </is>
      </c>
    </row>
    <row r="8" ht="50" customHeight="1">
      <c r="A8" s="2" t="inlineStr">
        <is>
          <t>Sheets: Inputs holds every source number (blue). Each comparison sheet is formulas only, so clicking a cell shows how it was built. The yellow check cells must read 0.</t>
        </is>
      </c>
    </row>
    <row r="9" ht="50" customHeight="1">
      <c r="A9" s="2" t="inlineStr">
        <is>
          <t>Class detail is allocated: the financials have no class split of normalized sales or non-fuel revenue, so billed class data is scaled to the finance totals (Step 2). Class mix and other yield are therefore estimates; the totals tie to finance.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3" t="inlineStr">
        <is>
          <t>Inputs - every number used in the walk (blue cells are source values)</t>
        </is>
      </c>
    </row>
    <row r="3">
      <c r="A3" s="4" t="inlineStr">
        <is>
          <t>1. Finance (JPSCo Financials 09-26, Revenues sheet)</t>
        </is>
      </c>
    </row>
    <row r="4">
      <c r="A4" s="5" t="inlineStr">
        <is>
          <t>Item</t>
        </is>
      </c>
      <c r="B4" s="5" t="inlineStr">
        <is>
          <t>Sept actual</t>
        </is>
      </c>
      <c r="C4" s="5" t="inlineStr">
        <is>
          <t>Sept budget</t>
        </is>
      </c>
      <c r="D4" s="5" t="inlineStr">
        <is>
          <t>Sept prior year</t>
        </is>
      </c>
      <c r="E4" s="5" t="inlineStr">
        <is>
          <t>YTD actual</t>
        </is>
      </c>
      <c r="F4" s="5" t="inlineStr">
        <is>
          <t>YTD budget</t>
        </is>
      </c>
      <c r="G4" s="5" t="inlineStr">
        <is>
          <t>YTD prior year</t>
        </is>
      </c>
      <c r="H4" s="5" t="inlineStr">
        <is>
          <t>Source</t>
        </is>
      </c>
    </row>
    <row r="5">
      <c r="A5" t="inlineStr">
        <is>
          <t>Energy line (US$000)</t>
        </is>
      </c>
      <c r="B5" s="6" t="n">
        <v>27977</v>
      </c>
      <c r="C5" s="6" t="n">
        <v>26935.18073058687</v>
      </c>
      <c r="D5" s="6" t="n">
        <v>27451</v>
      </c>
      <c r="E5" s="6" t="n">
        <v>231376</v>
      </c>
      <c r="F5" s="6" t="n">
        <v>224730.6627963972</v>
      </c>
      <c r="G5" s="6" t="n">
        <v>237631</v>
      </c>
      <c r="H5" t="inlineStr">
        <is>
          <t>Revenues row 13; columns: month actual C, budget F, prior year W; YTD actual L, budget M, prior YTD T</t>
        </is>
      </c>
    </row>
    <row r="6">
      <c r="A6" t="inlineStr">
        <is>
          <t>Customer charge (US$000)</t>
        </is>
      </c>
      <c r="B6" s="6" t="n">
        <v>3339</v>
      </c>
      <c r="C6" s="6" t="n">
        <v>3198.289045346474</v>
      </c>
      <c r="D6" s="6" t="n">
        <v>3229</v>
      </c>
      <c r="E6" s="6" t="n">
        <v>29442</v>
      </c>
      <c r="F6" s="6" t="n">
        <v>29012.60628649186</v>
      </c>
      <c r="G6" s="6" t="n">
        <v>29207</v>
      </c>
      <c r="H6" t="inlineStr">
        <is>
          <t>Revenues row 14; columns: month actual C, budget F, prior year W; YTD actual L, budget M, prior YTD T</t>
        </is>
      </c>
    </row>
    <row r="7">
      <c r="A7" t="inlineStr">
        <is>
          <t>Sales, normalized (MWh)</t>
        </is>
      </c>
      <c r="B7" s="6" t="n">
        <v>300193.7819025691</v>
      </c>
      <c r="C7" s="6" t="n">
        <v>303681.9899076986</v>
      </c>
      <c r="D7" s="6" t="n">
        <v>297076</v>
      </c>
      <c r="E7" s="6" t="n">
        <v>2471820.168807172</v>
      </c>
      <c r="F7" s="6" t="n">
        <v>2427355.058089439</v>
      </c>
      <c r="G7" s="6" t="n">
        <v>2568506.338586382</v>
      </c>
      <c r="H7" t="inlineStr">
        <is>
          <t>Revenues row 46; columns: month actual C, budget F, prior year W; YTD actual L, budget M, prior YTD T</t>
        </is>
      </c>
    </row>
    <row r="8">
      <c r="A8" t="inlineStr">
        <is>
          <t>Billing FX rate (J$/US$)</t>
        </is>
      </c>
      <c r="B8" s="7" t="n">
        <v>159.0239</v>
      </c>
      <c r="C8" s="7" t="n">
        <v>160.8681082542768</v>
      </c>
      <c r="D8" s="7" t="n">
        <v>161.0926</v>
      </c>
      <c r="E8" s="7" t="n">
        <v>158.5277444444445</v>
      </c>
      <c r="F8" s="7" t="n">
        <v>158.8842208473681</v>
      </c>
      <c r="G8" s="7" t="n">
        <v>159.0926444444445</v>
      </c>
      <c r="H8" t="inlineStr">
        <is>
          <t>Revenues row 32; columns: month actual C, budget F, prior year W; YTD actual L, budget M, prior YTD T</t>
        </is>
      </c>
    </row>
    <row r="9">
      <c r="A9" t="inlineStr">
        <is>
          <t>Finance FX effect, YTD vs budget (US$000)</t>
        </is>
      </c>
      <c r="E9" s="8" t="n">
        <v>89</v>
      </c>
      <c r="H9" t="inlineStr">
        <is>
          <t>Corporate Performance Report slide 11 (Non-Fuel Revenue Variance Analysis, FX bar)</t>
        </is>
      </c>
    </row>
    <row r="11">
      <c r="A11" s="4" t="inlineStr">
        <is>
          <t>2. Class detail from billed data (used only for the class shares)</t>
        </is>
      </c>
    </row>
    <row r="12" ht="44" customHeight="1">
      <c r="A12" s="9" t="inlineStr">
        <is>
          <t>MWh and energy+demand revenue (J$000). Sept actual = Earnings Sheet; YTD actual = platform Jan-Aug + Earnings Sheet Sept; prior year = platform (customer billed = 1); budget = budget file with the F/X adjustment lines allocated pro rata. Customer charge is carried separately on the finance line.</t>
        </is>
      </c>
    </row>
    <row r="13" ht="44" customHeight="1">
      <c r="A13" s="10" t="inlineStr">
        <is>
          <t>Class</t>
        </is>
      </c>
      <c r="B13" s="5" t="inlineStr">
        <is>
          <t>Sept actual MWh</t>
        </is>
      </c>
      <c r="C13" s="5" t="inlineStr">
        <is>
          <t>Sept actual energy+demand J$000</t>
        </is>
      </c>
      <c r="D13" s="5" t="inlineStr">
        <is>
          <t>Sept budget MWh</t>
        </is>
      </c>
      <c r="E13" s="5" t="inlineStr">
        <is>
          <t>Sept budget energy+demand J$000</t>
        </is>
      </c>
      <c r="F13" s="5" t="inlineStr">
        <is>
          <t>Sept prior year MWh</t>
        </is>
      </c>
      <c r="G13" s="5" t="inlineStr">
        <is>
          <t>Sept prior year energy+demand J$000</t>
        </is>
      </c>
      <c r="H13" s="5" t="inlineStr">
        <is>
          <t>YTD actual MWh</t>
        </is>
      </c>
      <c r="I13" s="5" t="inlineStr">
        <is>
          <t>YTD actual energy+demand J$000</t>
        </is>
      </c>
      <c r="J13" s="5" t="inlineStr">
        <is>
          <t>YTD budget MWh</t>
        </is>
      </c>
      <c r="K13" s="5" t="inlineStr">
        <is>
          <t>YTD budget energy+demand J$000</t>
        </is>
      </c>
      <c r="L13" s="5" t="inlineStr">
        <is>
          <t>YTD prior year MWh</t>
        </is>
      </c>
      <c r="M13" s="5" t="inlineStr">
        <is>
          <t>YTD prior year energy+demand J$000</t>
        </is>
      </c>
    </row>
    <row r="14">
      <c r="A14" t="inlineStr">
        <is>
          <t>RT10</t>
        </is>
      </c>
      <c r="B14" s="11" t="n">
        <v>114073.565484</v>
      </c>
      <c r="C14" s="11" t="n">
        <v>1964340.692506326</v>
      </c>
      <c r="D14" s="11" t="n">
        <v>104830</v>
      </c>
      <c r="E14" s="11" t="n">
        <v>1674438.905222392</v>
      </c>
      <c r="F14" s="11" t="n">
        <v>110279.23998</v>
      </c>
      <c r="G14" s="11" t="n">
        <v>1864816.655956237</v>
      </c>
      <c r="H14" s="11" t="n">
        <v>882108.9924340016</v>
      </c>
      <c r="I14" s="11" t="n">
        <v>14556669.25863622</v>
      </c>
      <c r="J14" s="11" t="n">
        <v>852217</v>
      </c>
      <c r="K14" s="11" t="n">
        <v>13552017.03659051</v>
      </c>
      <c r="L14" s="11" t="n">
        <v>909697.7463699987</v>
      </c>
      <c r="M14" s="11" t="n">
        <v>14943401.11660279</v>
      </c>
    </row>
    <row r="15">
      <c r="A15" t="inlineStr">
        <is>
          <t>RT20</t>
        </is>
      </c>
      <c r="B15" s="11" t="n">
        <v>61067.921759</v>
      </c>
      <c r="C15" s="11" t="n">
        <v>617453.5373</v>
      </c>
      <c r="D15" s="11" t="n">
        <v>57649</v>
      </c>
      <c r="E15" s="11" t="n">
        <v>607752.903297113</v>
      </c>
      <c r="F15" s="11" t="n">
        <v>58277.52717000002</v>
      </c>
      <c r="G15" s="11" t="n">
        <v>594417.3034152968</v>
      </c>
      <c r="H15" s="11" t="n">
        <v>476211.7180689992</v>
      </c>
      <c r="I15" s="11" t="n">
        <v>4852266.217196308</v>
      </c>
      <c r="J15" s="11" t="n">
        <v>459863</v>
      </c>
      <c r="K15" s="11" t="n">
        <v>4827036.47584513</v>
      </c>
      <c r="L15" s="11" t="n">
        <v>490520.9092000006</v>
      </c>
      <c r="M15" s="11" t="n">
        <v>5000878.697659018</v>
      </c>
    </row>
    <row r="16">
      <c r="A16" t="inlineStr">
        <is>
          <t>RT40</t>
        </is>
      </c>
      <c r="B16" s="11" t="n">
        <v>67272.954</v>
      </c>
      <c r="C16" s="11" t="n">
        <v>1142457.53563</v>
      </c>
      <c r="D16" s="11" t="n">
        <v>73334</v>
      </c>
      <c r="E16" s="11" t="n">
        <v>1202868.42501753</v>
      </c>
      <c r="F16" s="11" t="n">
        <v>68941.054</v>
      </c>
      <c r="G16" s="11" t="n">
        <v>1122372.451</v>
      </c>
      <c r="H16" s="11" t="n">
        <v>569726.824</v>
      </c>
      <c r="I16" s="11" t="n">
        <v>9540174.062630001</v>
      </c>
      <c r="J16" s="11" t="n">
        <v>594517</v>
      </c>
      <c r="K16" s="11" t="n">
        <v>10329798.68109494</v>
      </c>
      <c r="L16" s="11" t="n">
        <v>605323.824</v>
      </c>
      <c r="M16" s="11" t="n">
        <v>9948801.811000001</v>
      </c>
    </row>
    <row r="17">
      <c r="A17" t="inlineStr">
        <is>
          <t>RT50</t>
        </is>
      </c>
      <c r="B17" s="11" t="n">
        <v>30252.67434</v>
      </c>
      <c r="C17" s="11" t="n">
        <v>345202.26449</v>
      </c>
      <c r="D17" s="11" t="n">
        <v>35268</v>
      </c>
      <c r="E17" s="11" t="n">
        <v>417262.1508996299</v>
      </c>
      <c r="F17" s="11" t="n">
        <v>33527.203</v>
      </c>
      <c r="G17" s="11" t="n">
        <v>370576.368</v>
      </c>
      <c r="H17" s="11" t="n">
        <v>259548.79734</v>
      </c>
      <c r="I17" s="11" t="n">
        <v>3085993.04649</v>
      </c>
      <c r="J17" s="11" t="n">
        <v>276034</v>
      </c>
      <c r="K17" s="11" t="n">
        <v>3512562.757925066</v>
      </c>
      <c r="L17" s="11" t="n">
        <v>287170.236</v>
      </c>
      <c r="M17" s="11" t="n">
        <v>3359089.476</v>
      </c>
    </row>
    <row r="18">
      <c r="A18" t="inlineStr">
        <is>
          <t>RT60-ST</t>
        </is>
      </c>
      <c r="B18" s="11" t="n">
        <v>3414.8725</v>
      </c>
      <c r="C18" s="11" t="n">
        <v>48052.65401999999</v>
      </c>
      <c r="D18" s="11" t="n">
        <v>3312</v>
      </c>
      <c r="E18" s="11" t="n">
        <v>47976.34410477492</v>
      </c>
      <c r="F18" s="11" t="n">
        <v>3408.535</v>
      </c>
      <c r="G18" s="11" t="n">
        <v>47982.203</v>
      </c>
      <c r="H18" s="11" t="n">
        <v>27492.1305</v>
      </c>
      <c r="I18" s="11" t="n">
        <v>387106.81702</v>
      </c>
      <c r="J18" s="11" t="n">
        <v>28174</v>
      </c>
      <c r="K18" s="11" t="n">
        <v>406353.8628449356</v>
      </c>
      <c r="L18" s="11" t="n">
        <v>30381.836</v>
      </c>
      <c r="M18" s="11" t="n">
        <v>427730.116</v>
      </c>
    </row>
    <row r="19">
      <c r="A19" t="inlineStr">
        <is>
          <t>RT70</t>
        </is>
      </c>
      <c r="B19" s="11" t="n">
        <v>18642.651959</v>
      </c>
      <c r="C19" s="11" t="n">
        <v>271066.8674</v>
      </c>
      <c r="D19" s="11" t="n">
        <v>22866</v>
      </c>
      <c r="E19" s="11" t="n">
        <v>349129.2714585607</v>
      </c>
      <c r="F19" s="11" t="n">
        <v>27281.357</v>
      </c>
      <c r="G19" s="11" t="n">
        <v>347983.276</v>
      </c>
      <c r="H19" s="11" t="n">
        <v>213868.491959</v>
      </c>
      <c r="I19" s="11" t="n">
        <v>2951672.1094</v>
      </c>
      <c r="J19" s="11" t="n">
        <v>191229</v>
      </c>
      <c r="K19" s="11" t="n">
        <v>3051448.185699424</v>
      </c>
      <c r="L19" s="11" t="n">
        <v>226863.025</v>
      </c>
      <c r="M19" s="11" t="n">
        <v>3150881.29</v>
      </c>
    </row>
  </sheetData>
  <mergeCells count="1">
    <mergeCell ref="A12:N1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September 2026 vs budget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Inputs!$B$5</f>
        <v/>
      </c>
      <c r="C6" s="12">
        <f>Inputs!$C$5</f>
        <v/>
      </c>
      <c r="D6" s="12">
        <f>B6-C6</f>
        <v/>
      </c>
      <c r="E6" s="13">
        <f>D6/C6</f>
        <v/>
      </c>
    </row>
    <row r="7">
      <c r="A7" t="inlineStr">
        <is>
          <t>Customer charge</t>
        </is>
      </c>
      <c r="B7" s="12">
        <f>Inputs!$B$6</f>
        <v/>
      </c>
      <c r="C7" s="12">
        <f>Inputs!$C$6</f>
        <v/>
      </c>
      <c r="D7" s="12">
        <f>B7-C7</f>
        <v/>
      </c>
      <c r="E7" s="13">
        <f>D7/C7</f>
        <v/>
      </c>
    </row>
    <row r="8">
      <c r="A8" t="inlineStr">
        <is>
          <t>Sales, normalized (MWh)</t>
        </is>
      </c>
      <c r="B8" s="12">
        <f>Inputs!$B$7</f>
        <v/>
      </c>
      <c r="C8" s="12">
        <f>Inputs!$C$7</f>
        <v/>
      </c>
      <c r="D8" s="12">
        <f>B8-C8</f>
        <v/>
      </c>
      <c r="E8" s="13">
        <f>D8/C8</f>
        <v/>
      </c>
    </row>
    <row r="9">
      <c r="A9" t="inlineStr">
        <is>
          <t>Billing FX rate (J$/US$)</t>
        </is>
      </c>
      <c r="B9" s="14">
        <f>Inputs!$B$8</f>
        <v/>
      </c>
      <c r="C9" s="14">
        <f>Inputs!$C$8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B8/SUM(Inputs!$B$14:$B$19)</f>
        <v/>
      </c>
    </row>
    <row r="14">
      <c r="A14" t="inlineStr">
        <is>
          <t>Volume factor, comparison</t>
        </is>
      </c>
      <c r="B14" s="16">
        <f>C8/SUM(Inputs!$D$14:$D$19)</f>
        <v/>
      </c>
    </row>
    <row r="15">
      <c r="A15" t="inlineStr">
        <is>
          <t>Revenue factor, actual = finance energy line / sum of class energy+demand</t>
        </is>
      </c>
      <c r="B15" s="16">
        <f>B6/(SUM(Inputs!$C$14:$C$19)/1)</f>
        <v/>
      </c>
    </row>
    <row r="16">
      <c r="A16" t="inlineStr">
        <is>
          <t>Revenue factor, comparison</t>
        </is>
      </c>
      <c r="B16" s="16">
        <f>C6/(SUM(Inputs!$E$14:$E$19)/1)</f>
        <v/>
      </c>
    </row>
    <row r="18">
      <c r="A18" s="4" t="inlineStr">
        <is>
          <t>Step 3 - volume,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Mix</t>
        </is>
      </c>
      <c r="J19" s="5" t="inlineStr">
        <is>
          <t>Rate</t>
        </is>
      </c>
      <c r="K19" s="5" t="inlineStr">
        <is>
          <t>Total</t>
        </is>
      </c>
    </row>
    <row r="20">
      <c r="A20" t="inlineStr">
        <is>
          <t>RT10</t>
        </is>
      </c>
      <c r="B20" s="12">
        <f>Inputs!$D$14*$B$14</f>
        <v/>
      </c>
      <c r="C20" s="12">
        <f>Inputs!$B$14*$B$13</f>
        <v/>
      </c>
      <c r="D20" s="12">
        <f>Inputs!$E$14*$B$16</f>
        <v/>
      </c>
      <c r="E20" s="12">
        <f>Inputs!$C$14*$B$15</f>
        <v/>
      </c>
      <c r="F20" s="17">
        <f>D20/B20*100</f>
        <v/>
      </c>
      <c r="G20" s="17">
        <f>E20/C20*100</f>
        <v/>
      </c>
      <c r="H20" s="12">
        <f>(C$26*B20/B$26-B20)*(D20/B20)</f>
        <v/>
      </c>
      <c r="I20" s="12">
        <f>(C20-C$26*B20/B$26)*(D20/B20)</f>
        <v/>
      </c>
      <c r="J20" s="12">
        <f>E20-C20*(D20/B20)</f>
        <v/>
      </c>
      <c r="K20" s="12">
        <f>SUM(H20:J20)</f>
        <v/>
      </c>
    </row>
    <row r="21">
      <c r="A21" t="inlineStr">
        <is>
          <t>RT20</t>
        </is>
      </c>
      <c r="B21" s="12">
        <f>Inputs!$D$15*$B$14</f>
        <v/>
      </c>
      <c r="C21" s="12">
        <f>Inputs!$B$15*$B$13</f>
        <v/>
      </c>
      <c r="D21" s="12">
        <f>Inputs!$E$15*$B$16</f>
        <v/>
      </c>
      <c r="E21" s="12">
        <f>Inputs!$C$15*$B$15</f>
        <v/>
      </c>
      <c r="F21" s="17">
        <f>D21/B21*100</f>
        <v/>
      </c>
      <c r="G21" s="17">
        <f>E21/C21*100</f>
        <v/>
      </c>
      <c r="H21" s="12">
        <f>(C$26*B21/B$26-B21)*(D21/B21)</f>
        <v/>
      </c>
      <c r="I21" s="12">
        <f>(C21-C$26*B21/B$26)*(D21/B21)</f>
        <v/>
      </c>
      <c r="J21" s="12">
        <f>E21-C21*(D21/B21)</f>
        <v/>
      </c>
      <c r="K21" s="12">
        <f>SUM(H21:J21)</f>
        <v/>
      </c>
    </row>
    <row r="22">
      <c r="A22" t="inlineStr">
        <is>
          <t>RT40</t>
        </is>
      </c>
      <c r="B22" s="12">
        <f>Inputs!$D$16*$B$14</f>
        <v/>
      </c>
      <c r="C22" s="12">
        <f>Inputs!$B$16*$B$13</f>
        <v/>
      </c>
      <c r="D22" s="12">
        <f>Inputs!$E$16*$B$16</f>
        <v/>
      </c>
      <c r="E22" s="12">
        <f>Inputs!$C$16*$B$15</f>
        <v/>
      </c>
      <c r="F22" s="17">
        <f>D22/B22*100</f>
        <v/>
      </c>
      <c r="G22" s="17">
        <f>E22/C22*100</f>
        <v/>
      </c>
      <c r="H22" s="12">
        <f>(C$26*B22/B$26-B22)*(D22/B22)</f>
        <v/>
      </c>
      <c r="I22" s="12">
        <f>(C22-C$26*B22/B$26)*(D22/B22)</f>
        <v/>
      </c>
      <c r="J22" s="12">
        <f>E22-C22*(D22/B22)</f>
        <v/>
      </c>
      <c r="K22" s="12">
        <f>SUM(H22:J22)</f>
        <v/>
      </c>
    </row>
    <row r="23">
      <c r="A23" t="inlineStr">
        <is>
          <t>RT50</t>
        </is>
      </c>
      <c r="B23" s="12">
        <f>Inputs!$D$17*$B$14</f>
        <v/>
      </c>
      <c r="C23" s="12">
        <f>Inputs!$B$17*$B$13</f>
        <v/>
      </c>
      <c r="D23" s="12">
        <f>Inputs!$E$17*$B$16</f>
        <v/>
      </c>
      <c r="E23" s="12">
        <f>Inputs!$C$17*$B$15</f>
        <v/>
      </c>
      <c r="F23" s="17">
        <f>D23/B23*100</f>
        <v/>
      </c>
      <c r="G23" s="17">
        <f>E23/C23*100</f>
        <v/>
      </c>
      <c r="H23" s="12">
        <f>(C$26*B23/B$26-B23)*(D23/B23)</f>
        <v/>
      </c>
      <c r="I23" s="12">
        <f>(C23-C$26*B23/B$26)*(D23/B23)</f>
        <v/>
      </c>
      <c r="J23" s="12">
        <f>E23-C23*(D23/B23)</f>
        <v/>
      </c>
      <c r="K23" s="12">
        <f>SUM(H23:J23)</f>
        <v/>
      </c>
    </row>
    <row r="24">
      <c r="A24" t="inlineStr">
        <is>
          <t>RT60-ST</t>
        </is>
      </c>
      <c r="B24" s="12">
        <f>Inputs!$D$18*$B$14</f>
        <v/>
      </c>
      <c r="C24" s="12">
        <f>Inputs!$B$18*$B$13</f>
        <v/>
      </c>
      <c r="D24" s="12">
        <f>Inputs!$E$18*$B$16</f>
        <v/>
      </c>
      <c r="E24" s="12">
        <f>Inputs!$C$18*$B$15</f>
        <v/>
      </c>
      <c r="F24" s="17">
        <f>D24/B24*100</f>
        <v/>
      </c>
      <c r="G24" s="17">
        <f>E24/C24*100</f>
        <v/>
      </c>
      <c r="H24" s="12">
        <f>(C$26*B24/B$26-B24)*(D24/B24)</f>
        <v/>
      </c>
      <c r="I24" s="12">
        <f>(C24-C$26*B24/B$26)*(D24/B24)</f>
        <v/>
      </c>
      <c r="J24" s="12">
        <f>E24-C24*(D24/B24)</f>
        <v/>
      </c>
      <c r="K24" s="12">
        <f>SUM(H24:J24)</f>
        <v/>
      </c>
    </row>
    <row r="25">
      <c r="A25" t="inlineStr">
        <is>
          <t>RT70</t>
        </is>
      </c>
      <c r="B25" s="12">
        <f>Inputs!$D$19*$B$14</f>
        <v/>
      </c>
      <c r="C25" s="12">
        <f>Inputs!$B$19*$B$13</f>
        <v/>
      </c>
      <c r="D25" s="12">
        <f>Inputs!$E$19*$B$16</f>
        <v/>
      </c>
      <c r="E25" s="12">
        <f>Inputs!$C$19*$B$15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Other yield = rate - FX</t>
        </is>
      </c>
      <c r="B33" s="20">
        <f>J26-B32</f>
        <v/>
      </c>
    </row>
    <row r="35">
      <c r="A35" s="4" t="inlineStr">
        <is>
          <t>Step 5 - the walk</t>
        </is>
      </c>
    </row>
    <row r="36">
      <c r="A36" t="inlineStr">
        <is>
          <t>Customer charge (fixed charge per customer, finance line)</t>
        </is>
      </c>
      <c r="B36" s="12">
        <f>D7</f>
        <v/>
      </c>
    </row>
    <row r="37">
      <c r="A37" t="inlineStr">
        <is>
          <t>Energy line - volume</t>
        </is>
      </c>
      <c r="B37" s="12">
        <f>H26</f>
        <v/>
      </c>
    </row>
    <row r="38">
      <c r="A38" t="inlineStr">
        <is>
          <t>Energy line - mix between classes</t>
        </is>
      </c>
      <c r="B38" s="12">
        <f>I26</f>
        <v/>
      </c>
    </row>
    <row r="39">
      <c r="A39" t="inlineStr">
        <is>
          <t>Energy line - FX</t>
        </is>
      </c>
      <c r="B39" s="12">
        <f>B32</f>
        <v/>
      </c>
    </row>
    <row r="40">
      <c r="A40" t="inlineStr">
        <is>
          <t>Energy line - other yield (within-class)</t>
        </is>
      </c>
      <c r="B40" s="12">
        <f>B33</f>
        <v/>
      </c>
    </row>
    <row r="41">
      <c r="A41" s="4" t="inlineStr">
        <is>
          <t>Non-fuel revenue variance</t>
        </is>
      </c>
      <c r="B41" s="21">
        <f>SUM(B36:B40)</f>
        <v/>
      </c>
    </row>
    <row r="42">
      <c r="A42" t="inlineStr">
        <is>
          <t>Check against finance (B10 variance)</t>
        </is>
      </c>
      <c r="B42" s="22">
        <f>D10-B41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September 2026 vs September 2025 -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Inputs!$B$5</f>
        <v/>
      </c>
      <c r="C6" s="12">
        <f>Inputs!$D$5</f>
        <v/>
      </c>
      <c r="D6" s="12">
        <f>B6-C6</f>
        <v/>
      </c>
      <c r="E6" s="13">
        <f>D6/C6</f>
        <v/>
      </c>
    </row>
    <row r="7">
      <c r="A7" t="inlineStr">
        <is>
          <t>Customer charge</t>
        </is>
      </c>
      <c r="B7" s="12">
        <f>Inputs!$B$6</f>
        <v/>
      </c>
      <c r="C7" s="12">
        <f>Inputs!$D$6</f>
        <v/>
      </c>
      <c r="D7" s="12">
        <f>B7-C7</f>
        <v/>
      </c>
      <c r="E7" s="13">
        <f>D7/C7</f>
        <v/>
      </c>
    </row>
    <row r="8">
      <c r="A8" t="inlineStr">
        <is>
          <t>Sales, normalized (MWh)</t>
        </is>
      </c>
      <c r="B8" s="12">
        <f>Inputs!$B$7</f>
        <v/>
      </c>
      <c r="C8" s="12">
        <f>Inputs!$D$7</f>
        <v/>
      </c>
      <c r="D8" s="12">
        <f>B8-C8</f>
        <v/>
      </c>
      <c r="E8" s="13">
        <f>D8/C8</f>
        <v/>
      </c>
    </row>
    <row r="9">
      <c r="A9" t="inlineStr">
        <is>
          <t>Billing FX rate (J$/US$)</t>
        </is>
      </c>
      <c r="B9" s="14">
        <f>Inputs!$B$8</f>
        <v/>
      </c>
      <c r="C9" s="14">
        <f>Inputs!$D$8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B8/SUM(Inputs!$B$14:$B$19)</f>
        <v/>
      </c>
    </row>
    <row r="14">
      <c r="A14" t="inlineStr">
        <is>
          <t>Volume factor, comparison</t>
        </is>
      </c>
      <c r="B14" s="16">
        <f>C8/SUM(Inputs!$F$14:$F$19)</f>
        <v/>
      </c>
    </row>
    <row r="15">
      <c r="A15" t="inlineStr">
        <is>
          <t>Revenue factor, actual = finance energy line / sum of class energy+demand</t>
        </is>
      </c>
      <c r="B15" s="16">
        <f>B6/(SUM(Inputs!$C$14:$C$19)/1)</f>
        <v/>
      </c>
    </row>
    <row r="16">
      <c r="A16" t="inlineStr">
        <is>
          <t>Revenue factor, comparison</t>
        </is>
      </c>
      <c r="B16" s="16">
        <f>C6/(SUM(Inputs!$G$14:$G$19)/1)</f>
        <v/>
      </c>
    </row>
    <row r="18">
      <c r="A18" s="4" t="inlineStr">
        <is>
          <t>Step 3 - volume,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Mix</t>
        </is>
      </c>
      <c r="J19" s="5" t="inlineStr">
        <is>
          <t>Rate</t>
        </is>
      </c>
      <c r="K19" s="5" t="inlineStr">
        <is>
          <t>Total</t>
        </is>
      </c>
    </row>
    <row r="20">
      <c r="A20" t="inlineStr">
        <is>
          <t>RT10</t>
        </is>
      </c>
      <c r="B20" s="12">
        <f>Inputs!$F$14*$B$14</f>
        <v/>
      </c>
      <c r="C20" s="12">
        <f>Inputs!$B$14*$B$13</f>
        <v/>
      </c>
      <c r="D20" s="12">
        <f>Inputs!$G$14*$B$16</f>
        <v/>
      </c>
      <c r="E20" s="12">
        <f>Inputs!$C$14*$B$15</f>
        <v/>
      </c>
      <c r="F20" s="17">
        <f>D20/B20*100</f>
        <v/>
      </c>
      <c r="G20" s="17">
        <f>E20/C20*100</f>
        <v/>
      </c>
      <c r="H20" s="12">
        <f>(C$26*B20/B$26-B20)*(D20/B20)</f>
        <v/>
      </c>
      <c r="I20" s="12">
        <f>(C20-C$26*B20/B$26)*(D20/B20)</f>
        <v/>
      </c>
      <c r="J20" s="12">
        <f>E20-C20*(D20/B20)</f>
        <v/>
      </c>
      <c r="K20" s="12">
        <f>SUM(H20:J20)</f>
        <v/>
      </c>
    </row>
    <row r="21">
      <c r="A21" t="inlineStr">
        <is>
          <t>RT20</t>
        </is>
      </c>
      <c r="B21" s="12">
        <f>Inputs!$F$15*$B$14</f>
        <v/>
      </c>
      <c r="C21" s="12">
        <f>Inputs!$B$15*$B$13</f>
        <v/>
      </c>
      <c r="D21" s="12">
        <f>Inputs!$G$15*$B$16</f>
        <v/>
      </c>
      <c r="E21" s="12">
        <f>Inputs!$C$15*$B$15</f>
        <v/>
      </c>
      <c r="F21" s="17">
        <f>D21/B21*100</f>
        <v/>
      </c>
      <c r="G21" s="17">
        <f>E21/C21*100</f>
        <v/>
      </c>
      <c r="H21" s="12">
        <f>(C$26*B21/B$26-B21)*(D21/B21)</f>
        <v/>
      </c>
      <c r="I21" s="12">
        <f>(C21-C$26*B21/B$26)*(D21/B21)</f>
        <v/>
      </c>
      <c r="J21" s="12">
        <f>E21-C21*(D21/B21)</f>
        <v/>
      </c>
      <c r="K21" s="12">
        <f>SUM(H21:J21)</f>
        <v/>
      </c>
    </row>
    <row r="22">
      <c r="A22" t="inlineStr">
        <is>
          <t>RT40</t>
        </is>
      </c>
      <c r="B22" s="12">
        <f>Inputs!$F$16*$B$14</f>
        <v/>
      </c>
      <c r="C22" s="12">
        <f>Inputs!$B$16*$B$13</f>
        <v/>
      </c>
      <c r="D22" s="12">
        <f>Inputs!$G$16*$B$16</f>
        <v/>
      </c>
      <c r="E22" s="12">
        <f>Inputs!$C$16*$B$15</f>
        <v/>
      </c>
      <c r="F22" s="17">
        <f>D22/B22*100</f>
        <v/>
      </c>
      <c r="G22" s="17">
        <f>E22/C22*100</f>
        <v/>
      </c>
      <c r="H22" s="12">
        <f>(C$26*B22/B$26-B22)*(D22/B22)</f>
        <v/>
      </c>
      <c r="I22" s="12">
        <f>(C22-C$26*B22/B$26)*(D22/B22)</f>
        <v/>
      </c>
      <c r="J22" s="12">
        <f>E22-C22*(D22/B22)</f>
        <v/>
      </c>
      <c r="K22" s="12">
        <f>SUM(H22:J22)</f>
        <v/>
      </c>
    </row>
    <row r="23">
      <c r="A23" t="inlineStr">
        <is>
          <t>RT50</t>
        </is>
      </c>
      <c r="B23" s="12">
        <f>Inputs!$F$17*$B$14</f>
        <v/>
      </c>
      <c r="C23" s="12">
        <f>Inputs!$B$17*$B$13</f>
        <v/>
      </c>
      <c r="D23" s="12">
        <f>Inputs!$G$17*$B$16</f>
        <v/>
      </c>
      <c r="E23" s="12">
        <f>Inputs!$C$17*$B$15</f>
        <v/>
      </c>
      <c r="F23" s="17">
        <f>D23/B23*100</f>
        <v/>
      </c>
      <c r="G23" s="17">
        <f>E23/C23*100</f>
        <v/>
      </c>
      <c r="H23" s="12">
        <f>(C$26*B23/B$26-B23)*(D23/B23)</f>
        <v/>
      </c>
      <c r="I23" s="12">
        <f>(C23-C$26*B23/B$26)*(D23/B23)</f>
        <v/>
      </c>
      <c r="J23" s="12">
        <f>E23-C23*(D23/B23)</f>
        <v/>
      </c>
      <c r="K23" s="12">
        <f>SUM(H23:J23)</f>
        <v/>
      </c>
    </row>
    <row r="24">
      <c r="A24" t="inlineStr">
        <is>
          <t>RT60-ST</t>
        </is>
      </c>
      <c r="B24" s="12">
        <f>Inputs!$F$18*$B$14</f>
        <v/>
      </c>
      <c r="C24" s="12">
        <f>Inputs!$B$18*$B$13</f>
        <v/>
      </c>
      <c r="D24" s="12">
        <f>Inputs!$G$18*$B$16</f>
        <v/>
      </c>
      <c r="E24" s="12">
        <f>Inputs!$C$18*$B$15</f>
        <v/>
      </c>
      <c r="F24" s="17">
        <f>D24/B24*100</f>
        <v/>
      </c>
      <c r="G24" s="17">
        <f>E24/C24*100</f>
        <v/>
      </c>
      <c r="H24" s="12">
        <f>(C$26*B24/B$26-B24)*(D24/B24)</f>
        <v/>
      </c>
      <c r="I24" s="12">
        <f>(C24-C$26*B24/B$26)*(D24/B24)</f>
        <v/>
      </c>
      <c r="J24" s="12">
        <f>E24-C24*(D24/B24)</f>
        <v/>
      </c>
      <c r="K24" s="12">
        <f>SUM(H24:J24)</f>
        <v/>
      </c>
    </row>
    <row r="25">
      <c r="A25" t="inlineStr">
        <is>
          <t>RT70</t>
        </is>
      </c>
      <c r="B25" s="12">
        <f>Inputs!$F$19*$B$14</f>
        <v/>
      </c>
      <c r="C25" s="12">
        <f>Inputs!$B$19*$B$13</f>
        <v/>
      </c>
      <c r="D25" s="12">
        <f>Inputs!$G$19*$B$16</f>
        <v/>
      </c>
      <c r="E25" s="12">
        <f>Inputs!$C$19*$B$15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Other yield = rate - FX</t>
        </is>
      </c>
      <c r="B33" s="20">
        <f>J26-B32</f>
        <v/>
      </c>
    </row>
    <row r="35">
      <c r="A35" s="4" t="inlineStr">
        <is>
          <t>Step 5 - the walk</t>
        </is>
      </c>
    </row>
    <row r="36">
      <c r="A36" t="inlineStr">
        <is>
          <t>Customer charge (fixed charge per customer, finance line)</t>
        </is>
      </c>
      <c r="B36" s="12">
        <f>D7</f>
        <v/>
      </c>
    </row>
    <row r="37">
      <c r="A37" t="inlineStr">
        <is>
          <t>Energy line - volume</t>
        </is>
      </c>
      <c r="B37" s="12">
        <f>H26</f>
        <v/>
      </c>
    </row>
    <row r="38">
      <c r="A38" t="inlineStr">
        <is>
          <t>Energy line - mix between classes</t>
        </is>
      </c>
      <c r="B38" s="12">
        <f>I26</f>
        <v/>
      </c>
    </row>
    <row r="39">
      <c r="A39" t="inlineStr">
        <is>
          <t>Energy line - FX</t>
        </is>
      </c>
      <c r="B39" s="12">
        <f>B32</f>
        <v/>
      </c>
    </row>
    <row r="40">
      <c r="A40" t="inlineStr">
        <is>
          <t>Energy line - other yield (within-class)</t>
        </is>
      </c>
      <c r="B40" s="12">
        <f>B33</f>
        <v/>
      </c>
    </row>
    <row r="41">
      <c r="A41" s="4" t="inlineStr">
        <is>
          <t>Non-fuel revenue variance</t>
        </is>
      </c>
      <c r="B41" s="21">
        <f>SUM(B36:B40)</f>
        <v/>
      </c>
    </row>
    <row r="42">
      <c r="A42" t="inlineStr">
        <is>
          <t>Check against finance (B10 variance)</t>
        </is>
      </c>
      <c r="B42" s="22">
        <f>D10-B41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January-September 2026 vs budget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Inputs!$E$5</f>
        <v/>
      </c>
      <c r="C6" s="12">
        <f>Inputs!$F$5</f>
        <v/>
      </c>
      <c r="D6" s="12">
        <f>B6-C6</f>
        <v/>
      </c>
      <c r="E6" s="13">
        <f>D6/C6</f>
        <v/>
      </c>
    </row>
    <row r="7">
      <c r="A7" t="inlineStr">
        <is>
          <t>Customer charge</t>
        </is>
      </c>
      <c r="B7" s="12">
        <f>Inputs!$E$6</f>
        <v/>
      </c>
      <c r="C7" s="12">
        <f>Inputs!$F$6</f>
        <v/>
      </c>
      <c r="D7" s="12">
        <f>B7-C7</f>
        <v/>
      </c>
      <c r="E7" s="13">
        <f>D7/C7</f>
        <v/>
      </c>
    </row>
    <row r="8">
      <c r="A8" t="inlineStr">
        <is>
          <t>Sales, normalized (MWh)</t>
        </is>
      </c>
      <c r="B8" s="12">
        <f>Inputs!$E$7</f>
        <v/>
      </c>
      <c r="C8" s="12">
        <f>Inputs!$F$7</f>
        <v/>
      </c>
      <c r="D8" s="12">
        <f>B8-C8</f>
        <v/>
      </c>
      <c r="E8" s="13">
        <f>D8/C8</f>
        <v/>
      </c>
    </row>
    <row r="9">
      <c r="A9" t="inlineStr">
        <is>
          <t>Billing FX rate (J$/US$)</t>
        </is>
      </c>
      <c r="B9" s="14">
        <f>Inputs!$E$8</f>
        <v/>
      </c>
      <c r="C9" s="14">
        <f>Inputs!$F$8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B8/SUM(Inputs!$H$14:$H$19)</f>
        <v/>
      </c>
    </row>
    <row r="14">
      <c r="A14" t="inlineStr">
        <is>
          <t>Volume factor, comparison</t>
        </is>
      </c>
      <c r="B14" s="16">
        <f>C8/SUM(Inputs!$J$14:$J$19)</f>
        <v/>
      </c>
    </row>
    <row r="15">
      <c r="A15" t="inlineStr">
        <is>
          <t>Revenue factor, actual = finance energy line / sum of class energy+demand</t>
        </is>
      </c>
      <c r="B15" s="16">
        <f>B6/(SUM(Inputs!$I$14:$I$19)/1)</f>
        <v/>
      </c>
    </row>
    <row r="16">
      <c r="A16" t="inlineStr">
        <is>
          <t>Revenue factor, comparison</t>
        </is>
      </c>
      <c r="B16" s="16">
        <f>C6/(SUM(Inputs!$K$14:$K$19)/1)</f>
        <v/>
      </c>
    </row>
    <row r="18">
      <c r="A18" s="4" t="inlineStr">
        <is>
          <t>Step 3 - volume,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Mix</t>
        </is>
      </c>
      <c r="J19" s="5" t="inlineStr">
        <is>
          <t>Rate</t>
        </is>
      </c>
      <c r="K19" s="5" t="inlineStr">
        <is>
          <t>Total</t>
        </is>
      </c>
    </row>
    <row r="20">
      <c r="A20" t="inlineStr">
        <is>
          <t>RT10</t>
        </is>
      </c>
      <c r="B20" s="12">
        <f>Inputs!$J$14*$B$14</f>
        <v/>
      </c>
      <c r="C20" s="12">
        <f>Inputs!$H$14*$B$13</f>
        <v/>
      </c>
      <c r="D20" s="12">
        <f>Inputs!$K$14*$B$16</f>
        <v/>
      </c>
      <c r="E20" s="12">
        <f>Inputs!$I$14*$B$15</f>
        <v/>
      </c>
      <c r="F20" s="17">
        <f>D20/B20*100</f>
        <v/>
      </c>
      <c r="G20" s="17">
        <f>E20/C20*100</f>
        <v/>
      </c>
      <c r="H20" s="12">
        <f>(C$26*B20/B$26-B20)*(D20/B20)</f>
        <v/>
      </c>
      <c r="I20" s="12">
        <f>(C20-C$26*B20/B$26)*(D20/B20)</f>
        <v/>
      </c>
      <c r="J20" s="12">
        <f>E20-C20*(D20/B20)</f>
        <v/>
      </c>
      <c r="K20" s="12">
        <f>SUM(H20:J20)</f>
        <v/>
      </c>
    </row>
    <row r="21">
      <c r="A21" t="inlineStr">
        <is>
          <t>RT20</t>
        </is>
      </c>
      <c r="B21" s="12">
        <f>Inputs!$J$15*$B$14</f>
        <v/>
      </c>
      <c r="C21" s="12">
        <f>Inputs!$H$15*$B$13</f>
        <v/>
      </c>
      <c r="D21" s="12">
        <f>Inputs!$K$15*$B$16</f>
        <v/>
      </c>
      <c r="E21" s="12">
        <f>Inputs!$I$15*$B$15</f>
        <v/>
      </c>
      <c r="F21" s="17">
        <f>D21/B21*100</f>
        <v/>
      </c>
      <c r="G21" s="17">
        <f>E21/C21*100</f>
        <v/>
      </c>
      <c r="H21" s="12">
        <f>(C$26*B21/B$26-B21)*(D21/B21)</f>
        <v/>
      </c>
      <c r="I21" s="12">
        <f>(C21-C$26*B21/B$26)*(D21/B21)</f>
        <v/>
      </c>
      <c r="J21" s="12">
        <f>E21-C21*(D21/B21)</f>
        <v/>
      </c>
      <c r="K21" s="12">
        <f>SUM(H21:J21)</f>
        <v/>
      </c>
    </row>
    <row r="22">
      <c r="A22" t="inlineStr">
        <is>
          <t>RT40</t>
        </is>
      </c>
      <c r="B22" s="12">
        <f>Inputs!$J$16*$B$14</f>
        <v/>
      </c>
      <c r="C22" s="12">
        <f>Inputs!$H$16*$B$13</f>
        <v/>
      </c>
      <c r="D22" s="12">
        <f>Inputs!$K$16*$B$16</f>
        <v/>
      </c>
      <c r="E22" s="12">
        <f>Inputs!$I$16*$B$15</f>
        <v/>
      </c>
      <c r="F22" s="17">
        <f>D22/B22*100</f>
        <v/>
      </c>
      <c r="G22" s="17">
        <f>E22/C22*100</f>
        <v/>
      </c>
      <c r="H22" s="12">
        <f>(C$26*B22/B$26-B22)*(D22/B22)</f>
        <v/>
      </c>
      <c r="I22" s="12">
        <f>(C22-C$26*B22/B$26)*(D22/B22)</f>
        <v/>
      </c>
      <c r="J22" s="12">
        <f>E22-C22*(D22/B22)</f>
        <v/>
      </c>
      <c r="K22" s="12">
        <f>SUM(H22:J22)</f>
        <v/>
      </c>
    </row>
    <row r="23">
      <c r="A23" t="inlineStr">
        <is>
          <t>RT50</t>
        </is>
      </c>
      <c r="B23" s="12">
        <f>Inputs!$J$17*$B$14</f>
        <v/>
      </c>
      <c r="C23" s="12">
        <f>Inputs!$H$17*$B$13</f>
        <v/>
      </c>
      <c r="D23" s="12">
        <f>Inputs!$K$17*$B$16</f>
        <v/>
      </c>
      <c r="E23" s="12">
        <f>Inputs!$I$17*$B$15</f>
        <v/>
      </c>
      <c r="F23" s="17">
        <f>D23/B23*100</f>
        <v/>
      </c>
      <c r="G23" s="17">
        <f>E23/C23*100</f>
        <v/>
      </c>
      <c r="H23" s="12">
        <f>(C$26*B23/B$26-B23)*(D23/B23)</f>
        <v/>
      </c>
      <c r="I23" s="12">
        <f>(C23-C$26*B23/B$26)*(D23/B23)</f>
        <v/>
      </c>
      <c r="J23" s="12">
        <f>E23-C23*(D23/B23)</f>
        <v/>
      </c>
      <c r="K23" s="12">
        <f>SUM(H23:J23)</f>
        <v/>
      </c>
    </row>
    <row r="24">
      <c r="A24" t="inlineStr">
        <is>
          <t>RT60-ST</t>
        </is>
      </c>
      <c r="B24" s="12">
        <f>Inputs!$J$18*$B$14</f>
        <v/>
      </c>
      <c r="C24" s="12">
        <f>Inputs!$H$18*$B$13</f>
        <v/>
      </c>
      <c r="D24" s="12">
        <f>Inputs!$K$18*$B$16</f>
        <v/>
      </c>
      <c r="E24" s="12">
        <f>Inputs!$I$18*$B$15</f>
        <v/>
      </c>
      <c r="F24" s="17">
        <f>D24/B24*100</f>
        <v/>
      </c>
      <c r="G24" s="17">
        <f>E24/C24*100</f>
        <v/>
      </c>
      <c r="H24" s="12">
        <f>(C$26*B24/B$26-B24)*(D24/B24)</f>
        <v/>
      </c>
      <c r="I24" s="12">
        <f>(C24-C$26*B24/B$26)*(D24/B24)</f>
        <v/>
      </c>
      <c r="J24" s="12">
        <f>E24-C24*(D24/B24)</f>
        <v/>
      </c>
      <c r="K24" s="12">
        <f>SUM(H24:J24)</f>
        <v/>
      </c>
    </row>
    <row r="25">
      <c r="A25" t="inlineStr">
        <is>
          <t>RT70</t>
        </is>
      </c>
      <c r="B25" s="12">
        <f>Inputs!$J$19*$B$14</f>
        <v/>
      </c>
      <c r="C25" s="12">
        <f>Inputs!$H$19*$B$13</f>
        <v/>
      </c>
      <c r="D25" s="12">
        <f>Inputs!$K$19*$B$16</f>
        <v/>
      </c>
      <c r="E25" s="12">
        <f>Inputs!$I$19*$B$15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Other yield = rate - FX</t>
        </is>
      </c>
      <c r="B33" s="20">
        <f>J26-B32</f>
        <v/>
      </c>
    </row>
    <row r="35">
      <c r="A35" s="4" t="inlineStr">
        <is>
          <t>Step 5 - the walk</t>
        </is>
      </c>
    </row>
    <row r="36">
      <c r="A36" t="inlineStr">
        <is>
          <t>Customer charge (fixed charge per customer, finance line)</t>
        </is>
      </c>
      <c r="B36" s="12">
        <f>D7</f>
        <v/>
      </c>
    </row>
    <row r="37">
      <c r="A37" t="inlineStr">
        <is>
          <t>Energy line - volume</t>
        </is>
      </c>
      <c r="B37" s="12">
        <f>H26</f>
        <v/>
      </c>
    </row>
    <row r="38">
      <c r="A38" t="inlineStr">
        <is>
          <t>Energy line - mix between classes</t>
        </is>
      </c>
      <c r="B38" s="12">
        <f>I26</f>
        <v/>
      </c>
    </row>
    <row r="39">
      <c r="A39" t="inlineStr">
        <is>
          <t>Energy line - FX</t>
        </is>
      </c>
      <c r="B39" s="12">
        <f>B32</f>
        <v/>
      </c>
    </row>
    <row r="40">
      <c r="A40" t="inlineStr">
        <is>
          <t>Energy line - other yield (within-class)</t>
        </is>
      </c>
      <c r="B40" s="12">
        <f>B33</f>
        <v/>
      </c>
    </row>
    <row r="41">
      <c r="A41" s="4" t="inlineStr">
        <is>
          <t>Non-fuel revenue variance</t>
        </is>
      </c>
      <c r="B41" s="21">
        <f>SUM(B36:B40)</f>
        <v/>
      </c>
    </row>
    <row r="42">
      <c r="A42" t="inlineStr">
        <is>
          <t>Check against finance (B10 variance)</t>
        </is>
      </c>
      <c r="B42" s="22">
        <f>D10-B41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s>
  <sheetData>
    <row r="1">
      <c r="A1" s="3" t="inlineStr">
        <is>
          <t>January-September 2026 vs prior year - non-fuel revenue walk</t>
        </is>
      </c>
    </row>
    <row r="2">
      <c r="A2" t="inlineStr">
        <is>
          <t>US$'000 unless stated. Every cell below is a formula on the Inputs sheet.</t>
        </is>
      </c>
    </row>
    <row r="4">
      <c r="A4" s="4" t="inlineStr">
        <is>
          <t>Step 1 - finance totals</t>
        </is>
      </c>
    </row>
    <row r="5">
      <c r="A5" s="10" t="inlineStr"/>
      <c r="B5" s="10" t="inlineStr">
        <is>
          <t>Actual</t>
        </is>
      </c>
      <c r="C5" s="10" t="inlineStr">
        <is>
          <t>Comparison</t>
        </is>
      </c>
      <c r="D5" s="10" t="inlineStr">
        <is>
          <t>Variance</t>
        </is>
      </c>
      <c r="E5" s="10" t="inlineStr">
        <is>
          <t>Var %</t>
        </is>
      </c>
    </row>
    <row r="6">
      <c r="A6" t="inlineStr">
        <is>
          <t>Energy line (energy + demand + F/X)</t>
        </is>
      </c>
      <c r="B6" s="12">
        <f>Inputs!$E$5</f>
        <v/>
      </c>
      <c r="C6" s="12">
        <f>Inputs!$G$5</f>
        <v/>
      </c>
      <c r="D6" s="12">
        <f>B6-C6</f>
        <v/>
      </c>
      <c r="E6" s="13">
        <f>D6/C6</f>
        <v/>
      </c>
    </row>
    <row r="7">
      <c r="A7" t="inlineStr">
        <is>
          <t>Customer charge</t>
        </is>
      </c>
      <c r="B7" s="12">
        <f>Inputs!$E$6</f>
        <v/>
      </c>
      <c r="C7" s="12">
        <f>Inputs!$G$6</f>
        <v/>
      </c>
      <c r="D7" s="12">
        <f>B7-C7</f>
        <v/>
      </c>
      <c r="E7" s="13">
        <f>D7/C7</f>
        <v/>
      </c>
    </row>
    <row r="8">
      <c r="A8" t="inlineStr">
        <is>
          <t>Sales, normalized (MWh)</t>
        </is>
      </c>
      <c r="B8" s="12">
        <f>Inputs!$E$7</f>
        <v/>
      </c>
      <c r="C8" s="12">
        <f>Inputs!$G$7</f>
        <v/>
      </c>
      <c r="D8" s="12">
        <f>B8-C8</f>
        <v/>
      </c>
      <c r="E8" s="13">
        <f>D8/C8</f>
        <v/>
      </c>
    </row>
    <row r="9">
      <c r="A9" t="inlineStr">
        <is>
          <t>Billing FX rate (J$/US$)</t>
        </is>
      </c>
      <c r="B9" s="14">
        <f>Inputs!$E$8</f>
        <v/>
      </c>
      <c r="C9" s="14">
        <f>Inputs!$G$8</f>
        <v/>
      </c>
      <c r="D9" s="14">
        <f>B9-C9</f>
        <v/>
      </c>
      <c r="E9" s="13">
        <f>D9/C9</f>
        <v/>
      </c>
    </row>
    <row r="10">
      <c r="A10" s="4" t="inlineStr">
        <is>
          <t>Non-fuel revenue (energy line + customer charge)</t>
        </is>
      </c>
      <c r="B10" s="15">
        <f>B6+B7</f>
        <v/>
      </c>
      <c r="C10" s="15">
        <f>C6+C7</f>
        <v/>
      </c>
      <c r="D10" s="15">
        <f>B10-C10</f>
        <v/>
      </c>
      <c r="E10" s="13">
        <f>D10/C10</f>
        <v/>
      </c>
    </row>
    <row r="12">
      <c r="A12" s="4" t="inlineStr">
        <is>
          <t>Step 2 - scale the class data to the finance totals</t>
        </is>
      </c>
    </row>
    <row r="13">
      <c r="A13" t="inlineStr">
        <is>
          <t>Volume factor, actual = finance MWh / sum of billed class MWh</t>
        </is>
      </c>
      <c r="B13" s="16">
        <f>B8/SUM(Inputs!$H$14:$H$19)</f>
        <v/>
      </c>
    </row>
    <row r="14">
      <c r="A14" t="inlineStr">
        <is>
          <t>Volume factor, comparison</t>
        </is>
      </c>
      <c r="B14" s="16">
        <f>C8/SUM(Inputs!$L$14:$L$19)</f>
        <v/>
      </c>
    </row>
    <row r="15">
      <c r="A15" t="inlineStr">
        <is>
          <t>Revenue factor, actual = finance energy line / sum of class energy+demand</t>
        </is>
      </c>
      <c r="B15" s="16">
        <f>B6/(SUM(Inputs!$I$14:$I$19)/1)</f>
        <v/>
      </c>
    </row>
    <row r="16">
      <c r="A16" t="inlineStr">
        <is>
          <t>Revenue factor, comparison</t>
        </is>
      </c>
      <c r="B16" s="16">
        <f>C6/(SUM(Inputs!$M$14:$M$19)/1)</f>
        <v/>
      </c>
    </row>
    <row r="18">
      <c r="A18" s="4" t="inlineStr">
        <is>
          <t>Step 3 - volume, mix and rate on the energy line, by class</t>
        </is>
      </c>
    </row>
    <row r="19">
      <c r="A19" s="5" t="inlineStr">
        <is>
          <t>Class</t>
        </is>
      </c>
      <c r="B19" s="5" t="inlineStr">
        <is>
          <t>Comparison MWh</t>
        </is>
      </c>
      <c r="C19" s="5" t="inlineStr">
        <is>
          <t>Actual MWh</t>
        </is>
      </c>
      <c r="D19" s="5" t="inlineStr">
        <is>
          <t>Comparison US$000</t>
        </is>
      </c>
      <c r="E19" s="5" t="inlineStr">
        <is>
          <t>Actual US$000</t>
        </is>
      </c>
      <c r="F19" s="5" t="inlineStr">
        <is>
          <t>Comparison US cents/kWh</t>
        </is>
      </c>
      <c r="G19" s="5" t="inlineStr">
        <is>
          <t>Actual US cents/kWh</t>
        </is>
      </c>
      <c r="H19" s="5" t="inlineStr">
        <is>
          <t>Volume</t>
        </is>
      </c>
      <c r="I19" s="5" t="inlineStr">
        <is>
          <t>Mix</t>
        </is>
      </c>
      <c r="J19" s="5" t="inlineStr">
        <is>
          <t>Rate</t>
        </is>
      </c>
      <c r="K19" s="5" t="inlineStr">
        <is>
          <t>Total</t>
        </is>
      </c>
    </row>
    <row r="20">
      <c r="A20" t="inlineStr">
        <is>
          <t>RT10</t>
        </is>
      </c>
      <c r="B20" s="12">
        <f>Inputs!$L$14*$B$14</f>
        <v/>
      </c>
      <c r="C20" s="12">
        <f>Inputs!$H$14*$B$13</f>
        <v/>
      </c>
      <c r="D20" s="12">
        <f>Inputs!$M$14*$B$16</f>
        <v/>
      </c>
      <c r="E20" s="12">
        <f>Inputs!$I$14*$B$15</f>
        <v/>
      </c>
      <c r="F20" s="17">
        <f>D20/B20*100</f>
        <v/>
      </c>
      <c r="G20" s="17">
        <f>E20/C20*100</f>
        <v/>
      </c>
      <c r="H20" s="12">
        <f>(C$26*B20/B$26-B20)*(D20/B20)</f>
        <v/>
      </c>
      <c r="I20" s="12">
        <f>(C20-C$26*B20/B$26)*(D20/B20)</f>
        <v/>
      </c>
      <c r="J20" s="12">
        <f>E20-C20*(D20/B20)</f>
        <v/>
      </c>
      <c r="K20" s="12">
        <f>SUM(H20:J20)</f>
        <v/>
      </c>
    </row>
    <row r="21">
      <c r="A21" t="inlineStr">
        <is>
          <t>RT20</t>
        </is>
      </c>
      <c r="B21" s="12">
        <f>Inputs!$L$15*$B$14</f>
        <v/>
      </c>
      <c r="C21" s="12">
        <f>Inputs!$H$15*$B$13</f>
        <v/>
      </c>
      <c r="D21" s="12">
        <f>Inputs!$M$15*$B$16</f>
        <v/>
      </c>
      <c r="E21" s="12">
        <f>Inputs!$I$15*$B$15</f>
        <v/>
      </c>
      <c r="F21" s="17">
        <f>D21/B21*100</f>
        <v/>
      </c>
      <c r="G21" s="17">
        <f>E21/C21*100</f>
        <v/>
      </c>
      <c r="H21" s="12">
        <f>(C$26*B21/B$26-B21)*(D21/B21)</f>
        <v/>
      </c>
      <c r="I21" s="12">
        <f>(C21-C$26*B21/B$26)*(D21/B21)</f>
        <v/>
      </c>
      <c r="J21" s="12">
        <f>E21-C21*(D21/B21)</f>
        <v/>
      </c>
      <c r="K21" s="12">
        <f>SUM(H21:J21)</f>
        <v/>
      </c>
    </row>
    <row r="22">
      <c r="A22" t="inlineStr">
        <is>
          <t>RT40</t>
        </is>
      </c>
      <c r="B22" s="12">
        <f>Inputs!$L$16*$B$14</f>
        <v/>
      </c>
      <c r="C22" s="12">
        <f>Inputs!$H$16*$B$13</f>
        <v/>
      </c>
      <c r="D22" s="12">
        <f>Inputs!$M$16*$B$16</f>
        <v/>
      </c>
      <c r="E22" s="12">
        <f>Inputs!$I$16*$B$15</f>
        <v/>
      </c>
      <c r="F22" s="17">
        <f>D22/B22*100</f>
        <v/>
      </c>
      <c r="G22" s="17">
        <f>E22/C22*100</f>
        <v/>
      </c>
      <c r="H22" s="12">
        <f>(C$26*B22/B$26-B22)*(D22/B22)</f>
        <v/>
      </c>
      <c r="I22" s="12">
        <f>(C22-C$26*B22/B$26)*(D22/B22)</f>
        <v/>
      </c>
      <c r="J22" s="12">
        <f>E22-C22*(D22/B22)</f>
        <v/>
      </c>
      <c r="K22" s="12">
        <f>SUM(H22:J22)</f>
        <v/>
      </c>
    </row>
    <row r="23">
      <c r="A23" t="inlineStr">
        <is>
          <t>RT50</t>
        </is>
      </c>
      <c r="B23" s="12">
        <f>Inputs!$L$17*$B$14</f>
        <v/>
      </c>
      <c r="C23" s="12">
        <f>Inputs!$H$17*$B$13</f>
        <v/>
      </c>
      <c r="D23" s="12">
        <f>Inputs!$M$17*$B$16</f>
        <v/>
      </c>
      <c r="E23" s="12">
        <f>Inputs!$I$17*$B$15</f>
        <v/>
      </c>
      <c r="F23" s="17">
        <f>D23/B23*100</f>
        <v/>
      </c>
      <c r="G23" s="17">
        <f>E23/C23*100</f>
        <v/>
      </c>
      <c r="H23" s="12">
        <f>(C$26*B23/B$26-B23)*(D23/B23)</f>
        <v/>
      </c>
      <c r="I23" s="12">
        <f>(C23-C$26*B23/B$26)*(D23/B23)</f>
        <v/>
      </c>
      <c r="J23" s="12">
        <f>E23-C23*(D23/B23)</f>
        <v/>
      </c>
      <c r="K23" s="12">
        <f>SUM(H23:J23)</f>
        <v/>
      </c>
    </row>
    <row r="24">
      <c r="A24" t="inlineStr">
        <is>
          <t>RT60-ST</t>
        </is>
      </c>
      <c r="B24" s="12">
        <f>Inputs!$L$18*$B$14</f>
        <v/>
      </c>
      <c r="C24" s="12">
        <f>Inputs!$H$18*$B$13</f>
        <v/>
      </c>
      <c r="D24" s="12">
        <f>Inputs!$M$18*$B$16</f>
        <v/>
      </c>
      <c r="E24" s="12">
        <f>Inputs!$I$18*$B$15</f>
        <v/>
      </c>
      <c r="F24" s="17">
        <f>D24/B24*100</f>
        <v/>
      </c>
      <c r="G24" s="17">
        <f>E24/C24*100</f>
        <v/>
      </c>
      <c r="H24" s="12">
        <f>(C$26*B24/B$26-B24)*(D24/B24)</f>
        <v/>
      </c>
      <c r="I24" s="12">
        <f>(C24-C$26*B24/B$26)*(D24/B24)</f>
        <v/>
      </c>
      <c r="J24" s="12">
        <f>E24-C24*(D24/B24)</f>
        <v/>
      </c>
      <c r="K24" s="12">
        <f>SUM(H24:J24)</f>
        <v/>
      </c>
    </row>
    <row r="25">
      <c r="A25" t="inlineStr">
        <is>
          <t>RT70</t>
        </is>
      </c>
      <c r="B25" s="12">
        <f>Inputs!$L$19*$B$14</f>
        <v/>
      </c>
      <c r="C25" s="12">
        <f>Inputs!$H$19*$B$13</f>
        <v/>
      </c>
      <c r="D25" s="12">
        <f>Inputs!$M$19*$B$16</f>
        <v/>
      </c>
      <c r="E25" s="12">
        <f>Inputs!$I$19*$B$15</f>
        <v/>
      </c>
      <c r="F25" s="17">
        <f>D25/B25*100</f>
        <v/>
      </c>
      <c r="G25" s="17">
        <f>E25/C25*100</f>
        <v/>
      </c>
      <c r="H25" s="12">
        <f>(C$26*B25/B$26-B25)*(D25/B25)</f>
        <v/>
      </c>
      <c r="I25" s="12">
        <f>(C25-C$26*B25/B$26)*(D25/B25)</f>
        <v/>
      </c>
      <c r="J25" s="12">
        <f>E25-C25*(D25/B25)</f>
        <v/>
      </c>
      <c r="K25" s="12">
        <f>SUM(H25:J25)</f>
        <v/>
      </c>
    </row>
    <row r="26">
      <c r="A26" s="4" t="inlineStr">
        <is>
          <t>Total</t>
        </is>
      </c>
      <c r="B26" s="15">
        <f>SUM(B20:B25)</f>
        <v/>
      </c>
      <c r="C26" s="15">
        <f>SUM(C20:C25)</f>
        <v/>
      </c>
      <c r="D26" s="15">
        <f>SUM(D20:D25)</f>
        <v/>
      </c>
      <c r="E26" s="15">
        <f>SUM(E20:E25)</f>
        <v/>
      </c>
      <c r="F26" s="17">
        <f>D26/B26*100</f>
        <v/>
      </c>
      <c r="G26" s="17">
        <f>E26/C26*100</f>
        <v/>
      </c>
      <c r="H26" s="15">
        <f>SUM(H20:H25)</f>
        <v/>
      </c>
      <c r="I26" s="15">
        <f>SUM(I20:I25)</f>
        <v/>
      </c>
      <c r="J26" s="15">
        <f>SUM(J20:J25)</f>
        <v/>
      </c>
      <c r="K26" s="15">
        <f>SUM(K20:K25)</f>
        <v/>
      </c>
    </row>
    <row r="27">
      <c r="A27" t="inlineStr">
        <is>
          <t>Check: energy-line variance - (volume + mix + rate)</t>
        </is>
      </c>
      <c r="K27" s="18">
        <f>D6-K26</f>
        <v/>
      </c>
    </row>
    <row r="29">
      <c r="A29" s="4" t="inlineStr">
        <is>
          <t>Step 4 - take FX out of rate</t>
        </is>
      </c>
    </row>
    <row r="30">
      <c r="A30" t="inlineStr">
        <is>
          <t>FX if all revenue were J$-denominated (upper bound) = actual energy line x (comparison FX / actual FX - 1)</t>
        </is>
      </c>
      <c r="B30" s="12">
        <f>B6*(C9/B9-1)</f>
        <v/>
      </c>
    </row>
    <row r="31">
      <c r="A31" t="inlineStr">
        <is>
          <t>Share of revenue actually exposed to FX = finance YTD FX effect / YTD upper bound</t>
        </is>
      </c>
      <c r="B31" s="19">
        <f>Inputs!$E$9/(Inputs!$E$5*(Inputs!$F$8/Inputs!$E$8-1))</f>
        <v/>
      </c>
    </row>
    <row r="32">
      <c r="A32" t="inlineStr">
        <is>
          <t>FX effect used (upper bound x exposed share)</t>
        </is>
      </c>
      <c r="B32" s="20">
        <f>B30*B31</f>
        <v/>
      </c>
    </row>
    <row r="33">
      <c r="A33" t="inlineStr">
        <is>
          <t>Other yield = rate - FX</t>
        </is>
      </c>
      <c r="B33" s="20">
        <f>J26-B32</f>
        <v/>
      </c>
    </row>
    <row r="35">
      <c r="A35" s="4" t="inlineStr">
        <is>
          <t>Step 5 - the walk</t>
        </is>
      </c>
    </row>
    <row r="36">
      <c r="A36" t="inlineStr">
        <is>
          <t>Customer charge (fixed charge per customer, finance line)</t>
        </is>
      </c>
      <c r="B36" s="12">
        <f>D7</f>
        <v/>
      </c>
    </row>
    <row r="37">
      <c r="A37" t="inlineStr">
        <is>
          <t>Energy line - volume</t>
        </is>
      </c>
      <c r="B37" s="12">
        <f>H26</f>
        <v/>
      </c>
    </row>
    <row r="38">
      <c r="A38" t="inlineStr">
        <is>
          <t>Energy line - mix between classes</t>
        </is>
      </c>
      <c r="B38" s="12">
        <f>I26</f>
        <v/>
      </c>
    </row>
    <row r="39">
      <c r="A39" t="inlineStr">
        <is>
          <t>Energy line - FX</t>
        </is>
      </c>
      <c r="B39" s="12">
        <f>B32</f>
        <v/>
      </c>
    </row>
    <row r="40">
      <c r="A40" t="inlineStr">
        <is>
          <t>Energy line - other yield (within-class)</t>
        </is>
      </c>
      <c r="B40" s="12">
        <f>B33</f>
        <v/>
      </c>
    </row>
    <row r="41">
      <c r="A41" s="4" t="inlineStr">
        <is>
          <t>Non-fuel revenue variance</t>
        </is>
      </c>
      <c r="B41" s="21">
        <f>SUM(B36:B40)</f>
        <v/>
      </c>
    </row>
    <row r="42">
      <c r="A42" t="inlineStr">
        <is>
          <t>Check against finance (B10 variance)</t>
        </is>
      </c>
      <c r="B42" s="22">
        <f>D10-B41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2026-10-15T20:55:01Z</dcterms:created>
  <dcterms:modified xmlns:dcterms="http://purl.org/dc/terms/" xmlns:xsi="http://www.w3.org/2001/XMLSchema-instance" xsi:type="dcterms:W3CDTF">2026-10-15T20:55:01Z</dcterms:modified>
</cp:coreProperties>
</file>