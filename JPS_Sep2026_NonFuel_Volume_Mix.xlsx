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ance mix by class" sheetId="2" state="visible" r:id="rId2"/>
    <sheet xmlns:r="http://schemas.openxmlformats.org/officeDocument/2006/relationships" name="Finance basis" sheetId="3" state="visible" r:id="rId3"/>
    <sheet xmlns:r="http://schemas.openxmlformats.org/officeDocument/2006/relationships" name="Ba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[Red]-#,##0.0"/>
    <numFmt numFmtId="165" formatCode="0.0%;[Red]-0.0%"/>
    <numFmt numFmtId="166" formatCode="0.000"/>
    <numFmt numFmtId="167" formatCode="#,##0;[Red]-#,##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7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7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2" fontId="0" fillId="0" borderId="0" pivotButton="0" quotePrefix="0" xfId="0"/>
    <xf numFmtId="166" fontId="0" fillId="3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167" fontId="3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September 2026 non-fuel revenue: volume, mix and rate (finance numbers, normalized sales)</t>
        </is>
      </c>
    </row>
    <row r="2">
      <c r="A2" t="inlineStr">
        <is>
          <t>US$'000. Non-fuel = Energy (incl. demand and F/X) + Customer charge, from JPSCo Financials 09-26. Volume = normalized Sales (MWh).</t>
        </is>
      </c>
    </row>
    <row r="4">
      <c r="A4" s="2" t="inlineStr"/>
      <c r="B4" s="2" t="inlineStr">
        <is>
          <t>Sept vs budget</t>
        </is>
      </c>
      <c r="C4" s="2" t="inlineStr">
        <is>
          <t>Sept vs prior year</t>
        </is>
      </c>
      <c r="D4" s="2" t="inlineStr">
        <is>
          <t>YTD vs budget</t>
        </is>
      </c>
      <c r="E4" s="2" t="inlineStr">
        <is>
          <t>YTD vs prior year</t>
        </is>
      </c>
    </row>
    <row r="5">
      <c r="A5" t="inlineStr">
        <is>
          <t>Normalized sales, MWh (variance)</t>
        </is>
      </c>
      <c r="B5" s="3" t="n">
        <v>-3488.208005129418</v>
      </c>
      <c r="C5" s="3" t="n">
        <v>3117.78190256923</v>
      </c>
      <c r="D5" s="3" t="n">
        <v>44465.11071773339</v>
      </c>
      <c r="E5" s="3" t="n">
        <v>-96686.16977920989</v>
      </c>
    </row>
    <row r="6">
      <c r="A6" t="inlineStr">
        <is>
          <t xml:space="preserve">  % change</t>
        </is>
      </c>
      <c r="B6" s="4" t="n">
        <v>-0.01148638418165537</v>
      </c>
      <c r="C6" s="4" t="n">
        <v>0.0104948966007663</v>
      </c>
      <c r="D6" s="4" t="n">
        <v>0.01831833813085915</v>
      </c>
      <c r="E6" s="4" t="n">
        <v>-0.03764295549000773</v>
      </c>
    </row>
    <row r="7">
      <c r="A7" t="inlineStr">
        <is>
          <t>Non-fuel revenue, actual</t>
        </is>
      </c>
      <c r="B7" s="5" t="n">
        <v>31316</v>
      </c>
      <c r="C7" s="5" t="n">
        <v>31316</v>
      </c>
      <c r="D7" s="5" t="n">
        <v>260818</v>
      </c>
      <c r="E7" s="5" t="n">
        <v>260818</v>
      </c>
    </row>
    <row r="8">
      <c r="A8" t="inlineStr">
        <is>
          <t>Non-fuel revenue, comparison</t>
        </is>
      </c>
      <c r="B8" s="5" t="n">
        <v>30133.46977593335</v>
      </c>
      <c r="C8" s="5" t="n">
        <v>30680.00000000001</v>
      </c>
      <c r="D8" s="5" t="n">
        <v>253743.269082889</v>
      </c>
      <c r="E8" s="5" t="n">
        <v>266838</v>
      </c>
    </row>
    <row r="9">
      <c r="A9" t="inlineStr">
        <is>
          <t>Variance</t>
        </is>
      </c>
      <c r="B9" s="6" t="n">
        <v>1182.530224066653</v>
      </c>
      <c r="C9" s="6" t="n">
        <v>635.9999999999964</v>
      </c>
      <c r="D9" s="6" t="n">
        <v>7074.730917110981</v>
      </c>
      <c r="E9" s="6" t="n">
        <v>-6020</v>
      </c>
    </row>
    <row r="10">
      <c r="A10" t="inlineStr">
        <is>
          <t xml:space="preserve">  % change</t>
        </is>
      </c>
      <c r="B10" s="4" t="n">
        <v>0.03924308195703041</v>
      </c>
      <c r="C10" s="4" t="n">
        <v>0.02073011734028674</v>
      </c>
      <c r="D10" s="4" t="n">
        <v>0.02788145255116081</v>
      </c>
      <c r="E10" s="4" t="n">
        <v>-0.02256050487561745</v>
      </c>
    </row>
    <row r="11">
      <c r="A11" t="inlineStr">
        <is>
          <t xml:space="preserve">  Volume</t>
        </is>
      </c>
      <c r="B11" s="3" t="n">
        <v>-346.1246105726734</v>
      </c>
      <c r="C11" s="3" t="n">
        <v>321.9834277115096</v>
      </c>
      <c r="D11" s="3" t="n">
        <v>4648.155001489924</v>
      </c>
      <c r="E11" s="3" t="n">
        <v>-10044.57095704268</v>
      </c>
    </row>
    <row r="12">
      <c r="A12" t="inlineStr">
        <is>
          <t xml:space="preserve">  Mix</t>
        </is>
      </c>
      <c r="B12" s="3" t="n">
        <v>261.7103726472996</v>
      </c>
      <c r="C12" s="3" t="n">
        <v>318.010685352036</v>
      </c>
      <c r="D12" s="3" t="n">
        <v>341.078643723097</v>
      </c>
      <c r="E12" s="3" t="n">
        <v>591.7173046125013</v>
      </c>
    </row>
    <row r="13">
      <c r="A13" t="inlineStr">
        <is>
          <t xml:space="preserve">  Rate and other</t>
        </is>
      </c>
      <c r="B13" s="3" t="n">
        <v>1266.944461992025</v>
      </c>
      <c r="C13" s="3" t="n">
        <v>-3.994113063549605</v>
      </c>
      <c r="D13" s="3" t="n">
        <v>2085.497271897962</v>
      </c>
      <c r="E13" s="3" t="n">
        <v>3432.853652430163</v>
      </c>
    </row>
    <row r="15">
      <c r="A15" s="7" t="inlineStr">
        <is>
          <t>Reading</t>
        </is>
      </c>
    </row>
    <row r="16" ht="58" customHeight="1">
      <c r="A16" s="8" t="inlineStr">
        <is>
          <t>September vs budget: volume -346 (sales -1.1%), mix +262, rate and other +1,267; the +1,183 (+3.9%) beat is price and mix, not volume. Mix is carried by RT10 +1,249, RT20 +298, against RT40 -565, RT70 -384, RT50 -349.</t>
        </is>
      </c>
    </row>
    <row r="17" ht="58" customHeight="1">
      <c r="A17" s="8" t="inlineStr">
        <is>
          <t>September vs prior year: finance sales are +1.0% (normalized), so volume adds +322 and mix +318. On billed volume September is down 2.3%; the normalization adds about 5.5 GWh in September.</t>
        </is>
      </c>
    </row>
    <row r="18" ht="58" customHeight="1">
      <c r="A18" s="8" t="inlineStr">
        <is>
          <t>Year to date vs budget: +7,075 (+2.8%), of which volume +4,648 (+1.8% sales), mix +341, rate and other +2,085. Volume is the main support year to date; the September month is where it turns.</t>
        </is>
      </c>
    </row>
    <row r="19" ht="58" customHeight="1">
      <c r="A19" s="8" t="inlineStr">
        <is>
          <t>Year to date vs prior year: sales -3.8% take -10,045 of non-fuel revenue; mix (+592) and rate (+3,433) give back 4,025, so non-fuel revenue is -2.3%.</t>
        </is>
      </c>
    </row>
  </sheetData>
  <mergeCells count="4">
    <mergeCell ref="A16:E16"/>
    <mergeCell ref="A17:E17"/>
    <mergeCell ref="A18:E18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Volume, mix and rate by class on the finance totals (normalized sales, non-fuel US$000)</t>
        </is>
      </c>
    </row>
    <row r="2" ht="58" customHeight="1">
      <c r="A2" s="8" t="inlineStr">
        <is>
          <t>The financials carry normalized Sales (MWh) and non-fuel revenue for the whole system only. Class detail is allocated: each class's billed volume and non-fuel revenue (Earnings Sheet / platform / budget file) is scaled by one factor so the class totals equal the finance totals. The class mix therefore comes from the billed data; the totals, and so the volume effect, come from finance.</t>
        </is>
      </c>
    </row>
    <row r="4">
      <c r="A4" s="9" t="inlineStr">
        <is>
          <t>September 2026 vs budget</t>
        </is>
      </c>
    </row>
    <row r="5">
      <c r="A5" s="2" t="inlineStr">
        <is>
          <t>Class</t>
        </is>
      </c>
      <c r="B5" s="2" t="inlineStr">
        <is>
          <t>Budget MWh</t>
        </is>
      </c>
      <c r="C5" s="2" t="inlineStr">
        <is>
          <t>Actual MWh</t>
        </is>
      </c>
      <c r="D5" s="2" t="inlineStr">
        <is>
          <t>Budget US cents/kWh</t>
        </is>
      </c>
      <c r="E5" s="2" t="inlineStr">
        <is>
          <t>Actual US cents/kWh</t>
        </is>
      </c>
      <c r="F5" s="2" t="inlineStr">
        <is>
          <t>Budget non-fuel</t>
        </is>
      </c>
      <c r="G5" s="2" t="inlineStr">
        <is>
          <t>Actual non-fuel</t>
        </is>
      </c>
      <c r="H5" s="2" t="inlineStr">
        <is>
          <t>Volume</t>
        </is>
      </c>
      <c r="I5" s="2" t="inlineStr">
        <is>
          <t>Mix</t>
        </is>
      </c>
      <c r="J5" s="2" t="inlineStr">
        <is>
          <t>Rate</t>
        </is>
      </c>
      <c r="K5" s="2" t="inlineStr">
        <is>
          <t>Total</t>
        </is>
      </c>
    </row>
    <row r="6">
      <c r="A6" t="inlineStr">
        <is>
          <t>RT10</t>
        </is>
      </c>
      <c r="B6" s="3" t="n">
        <v>107095.1022577081</v>
      </c>
      <c r="C6" s="3" t="n">
        <v>116190.4041442627</v>
      </c>
      <c r="D6" s="10" t="n">
        <v>12.10035056078623</v>
      </c>
      <c r="E6" s="10" t="n">
        <v>12.98884261944368</v>
      </c>
      <c r="F6" s="3" t="n">
        <v>12958.88280661517</v>
      </c>
      <c r="G6" s="3" t="n">
        <v>15091.78873319385</v>
      </c>
      <c r="H6" s="3" t="n">
        <v>-148.8507064818309</v>
      </c>
      <c r="I6" s="3" t="n">
        <v>1249.414119316747</v>
      </c>
      <c r="J6" s="3" t="n">
        <v>1032.342513743761</v>
      </c>
      <c r="K6" s="3">
        <f>SUM(H6:J6)</f>
        <v/>
      </c>
    </row>
    <row r="7">
      <c r="A7" t="inlineStr">
        <is>
          <t>RT20</t>
        </is>
      </c>
      <c r="B7" s="3" t="n">
        <v>58894.64418634563</v>
      </c>
      <c r="C7" s="3" t="n">
        <v>62201.1460702843</v>
      </c>
      <c r="D7" s="10" t="n">
        <v>7.489546959248083</v>
      </c>
      <c r="E7" s="10" t="n">
        <v>7.320434256111151</v>
      </c>
      <c r="F7" s="3" t="n">
        <v>4410.942032818428</v>
      </c>
      <c r="G7" s="3" t="n">
        <v>4553.394004622826</v>
      </c>
      <c r="H7" s="3" t="n">
        <v>-50.66577479196472</v>
      </c>
      <c r="I7" s="3" t="n">
        <v>298.3077860979733</v>
      </c>
      <c r="J7" s="3" t="n">
        <v>-105.19003950161</v>
      </c>
      <c r="K7" s="3">
        <f>SUM(H7:J7)</f>
        <v/>
      </c>
    </row>
    <row r="8">
      <c r="A8" t="inlineStr">
        <is>
          <t>RT40</t>
        </is>
      </c>
      <c r="B8" s="3" t="n">
        <v>74918.55603326112</v>
      </c>
      <c r="C8" s="3" t="n">
        <v>68521.32376220622</v>
      </c>
      <c r="D8" s="10" t="n">
        <v>10.20239619303076</v>
      </c>
      <c r="E8" s="10" t="n">
        <v>10.81317859229049</v>
      </c>
      <c r="F8" s="3" t="n">
        <v>7643.487908611048</v>
      </c>
      <c r="G8" s="3" t="n">
        <v>7409.333112208941</v>
      </c>
      <c r="H8" s="3" t="n">
        <v>-87.79603860614473</v>
      </c>
      <c r="I8" s="3" t="n">
        <v>-564.874943075296</v>
      </c>
      <c r="J8" s="3" t="n">
        <v>418.5161852793344</v>
      </c>
      <c r="K8" s="3">
        <f>SUM(H8:J8)</f>
        <v/>
      </c>
    </row>
    <row r="9">
      <c r="A9" t="inlineStr">
        <is>
          <t>RT50</t>
        </is>
      </c>
      <c r="B9" s="3" t="n">
        <v>36030.04928383906</v>
      </c>
      <c r="C9" s="3" t="n">
        <v>30814.06672172785</v>
      </c>
      <c r="D9" s="10" t="n">
        <v>7.275247386544338</v>
      </c>
      <c r="E9" s="10" t="n">
        <v>7.183260263840824</v>
      </c>
      <c r="F9" s="3" t="n">
        <v>2621.275218893138</v>
      </c>
      <c r="G9" s="3" t="n">
        <v>2213.454610495275</v>
      </c>
      <c r="H9" s="3" t="n">
        <v>-30.10897421005967</v>
      </c>
      <c r="I9" s="3" t="n">
        <v>-349.3666608225446</v>
      </c>
      <c r="J9" s="3" t="n">
        <v>-28.34497336525874</v>
      </c>
      <c r="K9" s="3">
        <f>SUM(H9:J9)</f>
        <v/>
      </c>
    </row>
    <row r="10">
      <c r="A10" t="inlineStr">
        <is>
          <t>RT60-ST</t>
        </is>
      </c>
      <c r="B10" s="3" t="n">
        <v>3383.563661905267</v>
      </c>
      <c r="C10" s="3" t="n">
        <v>3478.241555724676</v>
      </c>
      <c r="D10" s="10" t="n">
        <v>9.226212912288508</v>
      </c>
      <c r="E10" s="10" t="n">
        <v>9.082199142162995</v>
      </c>
      <c r="F10" s="3" t="n">
        <v>312.1747874702056</v>
      </c>
      <c r="G10" s="3" t="n">
        <v>315.9008247363834</v>
      </c>
      <c r="H10" s="3" t="n">
        <v>-3.585759540709405</v>
      </c>
      <c r="I10" s="3" t="n">
        <v>12.32094360535851</v>
      </c>
      <c r="J10" s="3" t="n">
        <v>-5.009146798471363</v>
      </c>
      <c r="K10" s="3">
        <f>SUM(H10:J10)</f>
        <v/>
      </c>
    </row>
    <row r="11">
      <c r="A11" t="inlineStr">
        <is>
          <t>RT70</t>
        </is>
      </c>
      <c r="B11" s="3" t="n">
        <v>23360.07448463944</v>
      </c>
      <c r="C11" s="3" t="n">
        <v>18988.59964836339</v>
      </c>
      <c r="D11" s="10" t="n">
        <v>9.360873497913056</v>
      </c>
      <c r="E11" s="10" t="n">
        <v>9.121940252671665</v>
      </c>
      <c r="F11" s="3" t="n">
        <v>2186.707021525363</v>
      </c>
      <c r="G11" s="3" t="n">
        <v>1732.128714742731</v>
      </c>
      <c r="H11" s="3" t="n">
        <v>-25.117356941964</v>
      </c>
      <c r="I11" s="3" t="n">
        <v>-384.0908724749387</v>
      </c>
      <c r="J11" s="3" t="n">
        <v>-45.37007736573014</v>
      </c>
      <c r="K11" s="3">
        <f>SUM(H11:J11)</f>
        <v/>
      </c>
    </row>
    <row r="12">
      <c r="A12" s="7" t="inlineStr">
        <is>
          <t>Total</t>
        </is>
      </c>
      <c r="B12" s="6">
        <f>SUM(B6:B11)</f>
        <v/>
      </c>
      <c r="C12" s="6">
        <f>SUM(C6:C11)</f>
        <v/>
      </c>
      <c r="D12" s="10">
        <f>F12/B12*100</f>
        <v/>
      </c>
      <c r="E12" s="10">
        <f>G12/C12*100</f>
        <v/>
      </c>
      <c r="F12" s="6">
        <f>SUM(F6:F11)</f>
        <v/>
      </c>
      <c r="G12" s="6">
        <f>SUM(G6:G11)</f>
        <v/>
      </c>
      <c r="H12" s="6">
        <f>SUM(H6:H11)</f>
        <v/>
      </c>
      <c r="I12" s="6">
        <f>SUM(I6:I11)</f>
        <v/>
      </c>
      <c r="J12" s="6">
        <f>SUM(J6:J11)</f>
        <v/>
      </c>
      <c r="K12" s="6">
        <f>SUM(K6:K11)</f>
        <v/>
      </c>
    </row>
    <row r="13">
      <c r="A13" t="inlineStr">
        <is>
          <t>Check: finance variance - (volume + mix + rate)</t>
        </is>
      </c>
      <c r="K13" s="11">
        <f>(31316.0-30133.469775933347)-K12</f>
        <v/>
      </c>
    </row>
    <row r="15">
      <c r="A15" s="9" t="inlineStr">
        <is>
          <t>September 2026 vs prior year</t>
        </is>
      </c>
    </row>
    <row r="16">
      <c r="A16" s="2" t="inlineStr">
        <is>
          <t>Class</t>
        </is>
      </c>
      <c r="B16" s="2" t="inlineStr">
        <is>
          <t>Prior year MWh</t>
        </is>
      </c>
      <c r="C16" s="2" t="inlineStr">
        <is>
          <t>Actual MWh</t>
        </is>
      </c>
      <c r="D16" s="2" t="inlineStr">
        <is>
          <t>Prior year US cents/kWh</t>
        </is>
      </c>
      <c r="E16" s="2" t="inlineStr">
        <is>
          <t>Actual US cents/kWh</t>
        </is>
      </c>
      <c r="F16" s="2" t="inlineStr">
        <is>
          <t>Prior year non-fuel</t>
        </is>
      </c>
      <c r="G16" s="2" t="inlineStr">
        <is>
          <t>Actual non-fuel</t>
        </is>
      </c>
      <c r="H16" s="2" t="inlineStr">
        <is>
          <t>Volume</t>
        </is>
      </c>
      <c r="I16" s="2" t="inlineStr">
        <is>
          <t>Mix</t>
        </is>
      </c>
      <c r="J16" s="2" t="inlineStr">
        <is>
          <t>Rate</t>
        </is>
      </c>
      <c r="K16" s="2" t="inlineStr">
        <is>
          <t>Total</t>
        </is>
      </c>
    </row>
    <row r="17">
      <c r="A17" t="inlineStr">
        <is>
          <t>RT10</t>
        </is>
      </c>
      <c r="B17" s="3" t="n">
        <v>108583.6786405711</v>
      </c>
      <c r="C17" s="3" t="n">
        <v>116190.4041442627</v>
      </c>
      <c r="D17" s="10" t="n">
        <v>13.11013980500764</v>
      </c>
      <c r="E17" s="10" t="n">
        <v>12.98884261944368</v>
      </c>
      <c r="F17" s="3" t="n">
        <v>14235.4720751991</v>
      </c>
      <c r="G17" s="3" t="n">
        <v>15091.78873319385</v>
      </c>
      <c r="H17" s="3" t="n">
        <v>149.3998074923105</v>
      </c>
      <c r="I17" s="3" t="n">
        <v>847.8525406248268</v>
      </c>
      <c r="J17" s="3" t="n">
        <v>-140.9356901223928</v>
      </c>
      <c r="K17" s="3">
        <f>SUM(H17:J17)</f>
        <v/>
      </c>
    </row>
    <row r="18">
      <c r="A18" t="inlineStr">
        <is>
          <t>RT20</t>
        </is>
      </c>
      <c r="B18" s="3" t="n">
        <v>57381.5006645137</v>
      </c>
      <c r="C18" s="3" t="n">
        <v>62201.1460702843</v>
      </c>
      <c r="D18" s="10" t="n">
        <v>7.593942983858852</v>
      </c>
      <c r="E18" s="10" t="n">
        <v>7.320434256111151</v>
      </c>
      <c r="F18" s="3" t="n">
        <v>4357.518443745759</v>
      </c>
      <c r="G18" s="3" t="n">
        <v>4553.394004622826</v>
      </c>
      <c r="H18" s="3" t="n">
        <v>45.73170550304377</v>
      </c>
      <c r="I18" s="3" t="n">
        <v>320.2694186353476</v>
      </c>
      <c r="J18" s="3" t="n">
        <v>-170.1255632613238</v>
      </c>
      <c r="K18" s="3">
        <f>SUM(H18:J18)</f>
        <v/>
      </c>
    </row>
    <row r="19">
      <c r="A19" t="inlineStr">
        <is>
          <t>RT40</t>
        </is>
      </c>
      <c r="B19" s="3" t="n">
        <v>67881.07402658818</v>
      </c>
      <c r="C19" s="3" t="n">
        <v>68521.32376220622</v>
      </c>
      <c r="D19" s="10" t="n">
        <v>10.6298207875982</v>
      </c>
      <c r="E19" s="10" t="n">
        <v>10.81317859229049</v>
      </c>
      <c r="F19" s="3" t="n">
        <v>7215.636517723189</v>
      </c>
      <c r="G19" s="3" t="n">
        <v>7409.333112208941</v>
      </c>
      <c r="H19" s="3" t="n">
        <v>75.72735916221808</v>
      </c>
      <c r="I19" s="3" t="n">
        <v>-7.669959672949255</v>
      </c>
      <c r="J19" s="3" t="n">
        <v>125.6391949964836</v>
      </c>
      <c r="K19" s="3">
        <f>SUM(H19:J19)</f>
        <v/>
      </c>
    </row>
    <row r="20">
      <c r="A20" t="inlineStr">
        <is>
          <t>RT50</t>
        </is>
      </c>
      <c r="B20" s="3" t="n">
        <v>33011.71677397693</v>
      </c>
      <c r="C20" s="3" t="n">
        <v>30814.06672172785</v>
      </c>
      <c r="D20" s="10" t="n">
        <v>7.13272332642606</v>
      </c>
      <c r="E20" s="10" t="n">
        <v>7.183260263840824</v>
      </c>
      <c r="F20" s="3" t="n">
        <v>2354.634422791157</v>
      </c>
      <c r="G20" s="3" t="n">
        <v>2213.454610495275</v>
      </c>
      <c r="H20" s="3" t="n">
        <v>24.71164479979817</v>
      </c>
      <c r="I20" s="3" t="n">
        <v>-181.463942709783</v>
      </c>
      <c r="J20" s="3" t="n">
        <v>15.57248561410324</v>
      </c>
      <c r="K20" s="3">
        <f>SUM(H20:J20)</f>
        <v/>
      </c>
    </row>
    <row r="21">
      <c r="A21" t="inlineStr">
        <is>
          <t>RT60-ST</t>
        </is>
      </c>
      <c r="B21" s="3" t="n">
        <v>3356.128217262485</v>
      </c>
      <c r="C21" s="3" t="n">
        <v>3478.241555724676</v>
      </c>
      <c r="D21" s="10" t="n">
        <v>9.323437234313099</v>
      </c>
      <c r="E21" s="10" t="n">
        <v>9.082199142162995</v>
      </c>
      <c r="F21" s="3" t="n">
        <v>312.906507839539</v>
      </c>
      <c r="G21" s="3" t="n">
        <v>315.9008247363834</v>
      </c>
      <c r="H21" s="3" t="n">
        <v>3.283921445482781</v>
      </c>
      <c r="I21" s="3" t="n">
        <v>8.101239020763892</v>
      </c>
      <c r="J21" s="3" t="n">
        <v>-8.390843569402307</v>
      </c>
      <c r="K21" s="3">
        <f>SUM(H21:J21)</f>
        <v/>
      </c>
    </row>
    <row r="22">
      <c r="A22" t="inlineStr">
        <is>
          <t>RT70</t>
        </is>
      </c>
      <c r="B22" s="3" t="n">
        <v>26861.9016770875</v>
      </c>
      <c r="C22" s="3" t="n">
        <v>18988.59964836339</v>
      </c>
      <c r="D22" s="10" t="n">
        <v>8.204303847113973</v>
      </c>
      <c r="E22" s="10" t="n">
        <v>9.121940252671665</v>
      </c>
      <c r="F22" s="3" t="n">
        <v>2203.832032701262</v>
      </c>
      <c r="G22" s="3" t="n">
        <v>1732.128714742731</v>
      </c>
      <c r="H22" s="3" t="n">
        <v>23.12898930865627</v>
      </c>
      <c r="I22" s="3" t="n">
        <v>-669.0786105461701</v>
      </c>
      <c r="J22" s="3" t="n">
        <v>174.2463032789824</v>
      </c>
      <c r="K22" s="3">
        <f>SUM(H22:J22)</f>
        <v/>
      </c>
    </row>
    <row r="23">
      <c r="A23" s="7" t="inlineStr">
        <is>
          <t>Total</t>
        </is>
      </c>
      <c r="B23" s="6">
        <f>SUM(B17:B22)</f>
        <v/>
      </c>
      <c r="C23" s="6">
        <f>SUM(C17:C22)</f>
        <v/>
      </c>
      <c r="D23" s="10">
        <f>F23/B23*100</f>
        <v/>
      </c>
      <c r="E23" s="10">
        <f>G23/C23*100</f>
        <v/>
      </c>
      <c r="F23" s="6">
        <f>SUM(F17:F22)</f>
        <v/>
      </c>
      <c r="G23" s="6">
        <f>SUM(G17:G22)</f>
        <v/>
      </c>
      <c r="H23" s="6">
        <f>SUM(H17:H22)</f>
        <v/>
      </c>
      <c r="I23" s="6">
        <f>SUM(I17:I22)</f>
        <v/>
      </c>
      <c r="J23" s="6">
        <f>SUM(J17:J22)</f>
        <v/>
      </c>
      <c r="K23" s="6">
        <f>SUM(K17:K22)</f>
        <v/>
      </c>
    </row>
    <row r="24">
      <c r="A24" t="inlineStr">
        <is>
          <t>Check: finance variance - (volume + mix + rate)</t>
        </is>
      </c>
      <c r="K24" s="11">
        <f>(31316.0-30680.0)-K23</f>
        <v/>
      </c>
    </row>
    <row r="26">
      <c r="A26" s="9" t="inlineStr">
        <is>
          <t>January - September 2026 vs budget</t>
        </is>
      </c>
    </row>
    <row r="27">
      <c r="A27" s="2" t="inlineStr">
        <is>
          <t>Class</t>
        </is>
      </c>
      <c r="B27" s="2" t="inlineStr">
        <is>
          <t>Budget MWh</t>
        </is>
      </c>
      <c r="C27" s="2" t="inlineStr">
        <is>
          <t>Actual MWh</t>
        </is>
      </c>
      <c r="D27" s="2" t="inlineStr">
        <is>
          <t>Budget US cents/kWh</t>
        </is>
      </c>
      <c r="E27" s="2" t="inlineStr">
        <is>
          <t>Actual US cents/kWh</t>
        </is>
      </c>
      <c r="F27" s="2" t="inlineStr">
        <is>
          <t>Budget non-fuel</t>
        </is>
      </c>
      <c r="G27" s="2" t="inlineStr">
        <is>
          <t>Actual non-fuel</t>
        </is>
      </c>
      <c r="H27" s="2" t="inlineStr">
        <is>
          <t>Volume</t>
        </is>
      </c>
      <c r="I27" s="2" t="inlineStr">
        <is>
          <t>Mix</t>
        </is>
      </c>
      <c r="J27" s="2" t="inlineStr">
        <is>
          <t>Rate</t>
        </is>
      </c>
      <c r="K27" s="2" t="inlineStr">
        <is>
          <t>Total</t>
        </is>
      </c>
    </row>
    <row r="28">
      <c r="A28" t="inlineStr">
        <is>
          <t>RT10</t>
        </is>
      </c>
      <c r="B28" s="3" t="n">
        <v>861200.6514228388</v>
      </c>
      <c r="C28" s="3" t="n">
        <v>897675.3559682226</v>
      </c>
      <c r="D28" s="10" t="n">
        <v>12.50448016375541</v>
      </c>
      <c r="E28" s="10" t="n">
        <v>13.14266303005174</v>
      </c>
      <c r="F28" s="3" t="n">
        <v>107688.6646273013</v>
      </c>
      <c r="G28" s="3" t="n">
        <v>117978.4471387209</v>
      </c>
      <c r="H28" s="3" t="n">
        <v>1972.677371503591</v>
      </c>
      <c r="I28" s="3" t="n">
        <v>2588.294823162321</v>
      </c>
      <c r="J28" s="3" t="n">
        <v>5728.810316753763</v>
      </c>
      <c r="K28" s="3">
        <f>SUM(H28:J28)</f>
        <v/>
      </c>
    </row>
    <row r="29">
      <c r="A29" t="inlineStr">
        <is>
          <t>RT20</t>
        </is>
      </c>
      <c r="B29" s="3" t="n">
        <v>464710.6490075426</v>
      </c>
      <c r="C29" s="3" t="n">
        <v>484615.3108067443</v>
      </c>
      <c r="D29" s="10" t="n">
        <v>7.718796488516875</v>
      </c>
      <c r="E29" s="10" t="n">
        <v>7.695342995206224</v>
      </c>
      <c r="F29" s="3" t="n">
        <v>35870.06925735818</v>
      </c>
      <c r="G29" s="3" t="n">
        <v>37292.81037386367</v>
      </c>
      <c r="H29" s="3" t="n">
        <v>657.0800574336218</v>
      </c>
      <c r="I29" s="3" t="n">
        <v>879.3202785743222</v>
      </c>
      <c r="J29" s="3" t="n">
        <v>-113.6592195024496</v>
      </c>
      <c r="K29" s="3">
        <f>SUM(H29:J29)</f>
        <v/>
      </c>
    </row>
    <row r="30">
      <c r="A30" t="inlineStr">
        <is>
          <t>RT40</t>
        </is>
      </c>
      <c r="B30" s="3" t="n">
        <v>600784.105083508</v>
      </c>
      <c r="C30" s="3" t="n">
        <v>579780.6551406509</v>
      </c>
      <c r="D30" s="10" t="n">
        <v>10.99949167398228</v>
      </c>
      <c r="E30" s="10" t="n">
        <v>10.93223591412699</v>
      </c>
      <c r="F30" s="3" t="n">
        <v>66083.19761726943</v>
      </c>
      <c r="G30" s="3" t="n">
        <v>63382.98900444697</v>
      </c>
      <c r="H30" s="3" t="n">
        <v>1210.534358721516</v>
      </c>
      <c r="I30" s="3" t="n">
        <v>-3520.807086435112</v>
      </c>
      <c r="J30" s="3" t="n">
        <v>-389.9358851088546</v>
      </c>
      <c r="K30" s="3">
        <f>SUM(H30:J30)</f>
        <v/>
      </c>
    </row>
    <row r="31">
      <c r="A31" t="inlineStr">
        <is>
          <t>RT50</t>
        </is>
      </c>
      <c r="B31" s="3" t="n">
        <v>278943.8143276324</v>
      </c>
      <c r="C31" s="3" t="n">
        <v>264128.9920426026</v>
      </c>
      <c r="D31" s="10" t="n">
        <v>7.960767023288144</v>
      </c>
      <c r="E31" s="10" t="n">
        <v>7.666983884328365</v>
      </c>
      <c r="F31" s="3" t="n">
        <v>22206.06718449627</v>
      </c>
      <c r="G31" s="3" t="n">
        <v>20250.72725374529</v>
      </c>
      <c r="H31" s="3" t="n">
        <v>406.7782472421787</v>
      </c>
      <c r="I31" s="3" t="n">
        <v>-1586.151734267575</v>
      </c>
      <c r="J31" s="3" t="n">
        <v>-775.9664437255815</v>
      </c>
      <c r="K31" s="3">
        <f>SUM(H31:J31)</f>
        <v/>
      </c>
    </row>
    <row r="32">
      <c r="A32" t="inlineStr">
        <is>
          <t>RT60-ST</t>
        </is>
      </c>
      <c r="B32" s="3" t="n">
        <v>28470.99641662518</v>
      </c>
      <c r="C32" s="3" t="n">
        <v>27977.27746184243</v>
      </c>
      <c r="D32" s="10" t="n">
        <v>9.364252346571142</v>
      </c>
      <c r="E32" s="10" t="n">
        <v>9.340244502257059</v>
      </c>
      <c r="F32" s="3" t="n">
        <v>2666.095950036009</v>
      </c>
      <c r="G32" s="3" t="n">
        <v>2613.146120010941</v>
      </c>
      <c r="H32" s="3" t="n">
        <v>48.83844710207344</v>
      </c>
      <c r="I32" s="3" t="n">
        <v>-95.07153591078372</v>
      </c>
      <c r="J32" s="3" t="n">
        <v>-6.716741216358059</v>
      </c>
      <c r="K32" s="3">
        <f>SUM(H32:J32)</f>
        <v/>
      </c>
    </row>
    <row r="33">
      <c r="A33" t="inlineStr">
        <is>
          <t>RT70</t>
        </is>
      </c>
      <c r="B33" s="3" t="n">
        <v>193244.8418312919</v>
      </c>
      <c r="C33" s="3" t="n">
        <v>217642.5773871094</v>
      </c>
      <c r="D33" s="10" t="n">
        <v>9.95067928551256</v>
      </c>
      <c r="E33" s="10" t="n">
        <v>8.867695071853749</v>
      </c>
      <c r="F33" s="3" t="n">
        <v>19229.17444642787</v>
      </c>
      <c r="G33" s="3" t="n">
        <v>19299.88010921218</v>
      </c>
      <c r="H33" s="3" t="n">
        <v>352.2465194869426</v>
      </c>
      <c r="I33" s="3" t="n">
        <v>2075.493898599924</v>
      </c>
      <c r="J33" s="3" t="n">
        <v>-2357.034755302557</v>
      </c>
      <c r="K33" s="3">
        <f>SUM(H33:J33)</f>
        <v/>
      </c>
    </row>
    <row r="34">
      <c r="A34" s="7" t="inlineStr">
        <is>
          <t>Total</t>
        </is>
      </c>
      <c r="B34" s="6">
        <f>SUM(B28:B33)</f>
        <v/>
      </c>
      <c r="C34" s="6">
        <f>SUM(C28:C33)</f>
        <v/>
      </c>
      <c r="D34" s="10">
        <f>F34/B34*100</f>
        <v/>
      </c>
      <c r="E34" s="10">
        <f>G34/C34*100</f>
        <v/>
      </c>
      <c r="F34" s="6">
        <f>SUM(F28:F33)</f>
        <v/>
      </c>
      <c r="G34" s="6">
        <f>SUM(G28:G33)</f>
        <v/>
      </c>
      <c r="H34" s="6">
        <f>SUM(H28:H33)</f>
        <v/>
      </c>
      <c r="I34" s="6">
        <f>SUM(I28:I33)</f>
        <v/>
      </c>
      <c r="J34" s="6">
        <f>SUM(J28:J33)</f>
        <v/>
      </c>
      <c r="K34" s="6">
        <f>SUM(K28:K33)</f>
        <v/>
      </c>
    </row>
    <row r="35">
      <c r="A35" t="inlineStr">
        <is>
          <t>Check: finance variance - (volume + mix + rate)</t>
        </is>
      </c>
      <c r="K35" s="11">
        <f>(260818.0-253743.26908288902)-K34</f>
        <v/>
      </c>
    </row>
    <row r="37">
      <c r="A37" s="9" t="inlineStr">
        <is>
          <t>January - September 2026 vs prior year</t>
        </is>
      </c>
    </row>
    <row r="38">
      <c r="A38" s="2" t="inlineStr">
        <is>
          <t>Class</t>
        </is>
      </c>
      <c r="B38" s="2" t="inlineStr">
        <is>
          <t>Prior year MWh</t>
        </is>
      </c>
      <c r="C38" s="2" t="inlineStr">
        <is>
          <t>Actual MWh</t>
        </is>
      </c>
      <c r="D38" s="2" t="inlineStr">
        <is>
          <t>Prior year US cents/kWh</t>
        </is>
      </c>
      <c r="E38" s="2" t="inlineStr">
        <is>
          <t>Actual US cents/kWh</t>
        </is>
      </c>
      <c r="F38" s="2" t="inlineStr">
        <is>
          <t>Prior year non-fuel</t>
        </is>
      </c>
      <c r="G38" s="2" t="inlineStr">
        <is>
          <t>Actual non-fuel</t>
        </is>
      </c>
      <c r="H38" s="2" t="inlineStr">
        <is>
          <t>Volume</t>
        </is>
      </c>
      <c r="I38" s="2" t="inlineStr">
        <is>
          <t>Mix</t>
        </is>
      </c>
      <c r="J38" s="2" t="inlineStr">
        <is>
          <t>Rate</t>
        </is>
      </c>
      <c r="K38" s="2" t="inlineStr">
        <is>
          <t>Total</t>
        </is>
      </c>
    </row>
    <row r="39">
      <c r="A39" t="inlineStr">
        <is>
          <t>RT10</t>
        </is>
      </c>
      <c r="B39" s="3" t="n">
        <v>916315.0199902735</v>
      </c>
      <c r="C39" s="3" t="n">
        <v>897675.3559682226</v>
      </c>
      <c r="D39" s="10" t="n">
        <v>12.96436638204799</v>
      </c>
      <c r="E39" s="10" t="n">
        <v>13.14266303005174</v>
      </c>
      <c r="F39" s="3" t="n">
        <v>118794.4364052754</v>
      </c>
      <c r="G39" s="3" t="n">
        <v>117978.4471387209</v>
      </c>
      <c r="H39" s="3" t="n">
        <v>-4471.773682064323</v>
      </c>
      <c r="I39" s="3" t="n">
        <v>2055.259345862859</v>
      </c>
      <c r="J39" s="3" t="n">
        <v>1600.525069647047</v>
      </c>
      <c r="K39" s="3">
        <f>SUM(H39:J39)</f>
        <v/>
      </c>
    </row>
    <row r="40">
      <c r="A40" t="inlineStr">
        <is>
          <t>RT20</t>
        </is>
      </c>
      <c r="B40" s="3" t="n">
        <v>494089.0295845951</v>
      </c>
      <c r="C40" s="3" t="n">
        <v>484615.3108067443</v>
      </c>
      <c r="D40" s="10" t="n">
        <v>7.640721482525489</v>
      </c>
      <c r="E40" s="10" t="n">
        <v>7.695342995206224</v>
      </c>
      <c r="F40" s="3" t="n">
        <v>37751.96662627187</v>
      </c>
      <c r="G40" s="3" t="n">
        <v>37292.81037386367</v>
      </c>
      <c r="H40" s="3" t="n">
        <v>-1421.095599373009</v>
      </c>
      <c r="I40" s="3" t="n">
        <v>697.2351335197162</v>
      </c>
      <c r="J40" s="3" t="n">
        <v>264.7042134450894</v>
      </c>
      <c r="K40" s="3">
        <f>SUM(H40:J40)</f>
        <v/>
      </c>
    </row>
    <row r="41">
      <c r="A41" t="inlineStr">
        <is>
          <t>RT40</t>
        </is>
      </c>
      <c r="B41" s="3" t="n">
        <v>609727.0374720162</v>
      </c>
      <c r="C41" s="3" t="n">
        <v>579780.6551406509</v>
      </c>
      <c r="D41" s="10" t="n">
        <v>10.70879394607193</v>
      </c>
      <c r="E41" s="10" t="n">
        <v>10.93223591412699</v>
      </c>
      <c r="F41" s="3" t="n">
        <v>65294.41207636699</v>
      </c>
      <c r="G41" s="3" t="n">
        <v>63382.98900444697</v>
      </c>
      <c r="H41" s="3" t="n">
        <v>-2457.874647536908</v>
      </c>
      <c r="I41" s="3" t="n">
        <v>-749.0217306318876</v>
      </c>
      <c r="J41" s="3" t="n">
        <v>1295.473306248787</v>
      </c>
      <c r="K41" s="3">
        <f>SUM(H41:J41)</f>
        <v/>
      </c>
    </row>
    <row r="42">
      <c r="A42" t="inlineStr">
        <is>
          <t>RT50</t>
        </is>
      </c>
      <c r="B42" s="3" t="n">
        <v>289259.1540332629</v>
      </c>
      <c r="C42" s="3" t="n">
        <v>264128.9920426026</v>
      </c>
      <c r="D42" s="10" t="n">
        <v>7.531168849578723</v>
      </c>
      <c r="E42" s="10" t="n">
        <v>7.666983884328365</v>
      </c>
      <c r="F42" s="3" t="n">
        <v>21784.59530310803</v>
      </c>
      <c r="G42" s="3" t="n">
        <v>20250.72725374529</v>
      </c>
      <c r="H42" s="3" t="n">
        <v>-820.0365513627288</v>
      </c>
      <c r="I42" s="3" t="n">
        <v>-1072.558380326552</v>
      </c>
      <c r="J42" s="3" t="n">
        <v>358.7268823265404</v>
      </c>
      <c r="K42" s="3">
        <f>SUM(H42:J42)</f>
        <v/>
      </c>
    </row>
    <row r="43">
      <c r="A43" t="inlineStr">
        <is>
          <t>RT60-ST</t>
        </is>
      </c>
      <c r="B43" s="3" t="n">
        <v>30602.83789068353</v>
      </c>
      <c r="C43" s="3" t="n">
        <v>27977.27746184243</v>
      </c>
      <c r="D43" s="10" t="n">
        <v>9.295510153223004</v>
      </c>
      <c r="E43" s="10" t="n">
        <v>9.340244502257059</v>
      </c>
      <c r="F43" s="3" t="n">
        <v>2844.689903302864</v>
      </c>
      <c r="G43" s="3" t="n">
        <v>2613.146120010941</v>
      </c>
      <c r="H43" s="3" t="n">
        <v>-107.082535412904</v>
      </c>
      <c r="I43" s="3" t="n">
        <v>-136.976700829026</v>
      </c>
      <c r="J43" s="3" t="n">
        <v>12.51545295000687</v>
      </c>
      <c r="K43" s="3">
        <f>SUM(H43:J43)</f>
        <v/>
      </c>
    </row>
    <row r="44">
      <c r="A44" t="inlineStr">
        <is>
          <t>RT70</t>
        </is>
      </c>
      <c r="B44" s="3" t="n">
        <v>228513.2596155507</v>
      </c>
      <c r="C44" s="3" t="n">
        <v>217642.5773871094</v>
      </c>
      <c r="D44" s="10" t="n">
        <v>8.913224431677062</v>
      </c>
      <c r="E44" s="10" t="n">
        <v>8.867695071853749</v>
      </c>
      <c r="F44" s="3" t="n">
        <v>20367.8996856749</v>
      </c>
      <c r="G44" s="3" t="n">
        <v>19299.88010921218</v>
      </c>
      <c r="H44" s="3" t="n">
        <v>-766.7079412928024</v>
      </c>
      <c r="I44" s="3" t="n">
        <v>-202.2203629826084</v>
      </c>
      <c r="J44" s="3" t="n">
        <v>-99.09127218730646</v>
      </c>
      <c r="K44" s="3">
        <f>SUM(H44:J44)</f>
        <v/>
      </c>
    </row>
    <row r="45">
      <c r="A45" s="7" t="inlineStr">
        <is>
          <t>Total</t>
        </is>
      </c>
      <c r="B45" s="6">
        <f>SUM(B39:B44)</f>
        <v/>
      </c>
      <c r="C45" s="6">
        <f>SUM(C39:C44)</f>
        <v/>
      </c>
      <c r="D45" s="10">
        <f>F45/B45*100</f>
        <v/>
      </c>
      <c r="E45" s="10">
        <f>G45/C45*100</f>
        <v/>
      </c>
      <c r="F45" s="6">
        <f>SUM(F39:F44)</f>
        <v/>
      </c>
      <c r="G45" s="6">
        <f>SUM(G39:G44)</f>
        <v/>
      </c>
      <c r="H45" s="6">
        <f>SUM(H39:H44)</f>
        <v/>
      </c>
      <c r="I45" s="6">
        <f>SUM(I39:I44)</f>
        <v/>
      </c>
      <c r="J45" s="6">
        <f>SUM(J39:J44)</f>
        <v/>
      </c>
      <c r="K45" s="6">
        <f>SUM(K39:K44)</f>
        <v/>
      </c>
    </row>
    <row r="46">
      <c r="A46" t="inlineStr">
        <is>
          <t>Check: finance variance - (volume + mix + rate)</t>
        </is>
      </c>
      <c r="K46" s="11">
        <f>(260818.0-266838.0)-K45</f>
        <v/>
      </c>
    </row>
  </sheetData>
  <mergeCells count="1">
    <mergeCell ref="A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Non-fuel revenue on the finance numbers (JPSCo Financials 09-26, Revenues sheet, US$'000)</t>
        </is>
      </c>
    </row>
    <row r="2" ht="44" customHeight="1">
      <c r="A2" s="8" t="inlineStr">
        <is>
          <t>Non-fuel = Energy (which carries demand and F/X) + Customer charge. Volume is finance's Sales (MWh) from the same sheet. Volume effect = change in MWh x base US cents/kWh. Mix is estimated from class volumes (Earnings Sheet vs budget file, J$ at the actual billing FX rate); rate is the remainder.</t>
        </is>
      </c>
    </row>
    <row r="4">
      <c r="A4" s="9" t="inlineStr">
        <is>
          <t>September 2026 vs budget</t>
        </is>
      </c>
    </row>
    <row r="5">
      <c r="A5" s="12" t="inlineStr"/>
      <c r="B5" s="12" t="inlineStr">
        <is>
          <t>Actual</t>
        </is>
      </c>
      <c r="C5" s="12" t="inlineStr">
        <is>
          <t>Budget</t>
        </is>
      </c>
      <c r="D5" s="12" t="inlineStr">
        <is>
          <t>Variance</t>
        </is>
      </c>
      <c r="E5" s="12" t="inlineStr">
        <is>
          <t>Var %</t>
        </is>
      </c>
    </row>
    <row r="6">
      <c r="A6" t="inlineStr">
        <is>
          <t>Energy (incl. demand and F/X)</t>
        </is>
      </c>
      <c r="B6" s="3" t="n">
        <v>27977</v>
      </c>
      <c r="C6" s="3" t="n">
        <v>26935.18073058687</v>
      </c>
      <c r="D6" s="3">
        <f>B6-C6</f>
        <v/>
      </c>
      <c r="E6" s="4">
        <f>D6/C6</f>
        <v/>
      </c>
    </row>
    <row r="7">
      <c r="A7" t="inlineStr">
        <is>
          <t>Customer charge</t>
        </is>
      </c>
      <c r="B7" s="3" t="n">
        <v>3339</v>
      </c>
      <c r="C7" s="3" t="n">
        <v>3198.289045346474</v>
      </c>
      <c r="D7" s="3">
        <f>B7-C7</f>
        <v/>
      </c>
      <c r="E7" s="4">
        <f>D7/C7</f>
        <v/>
      </c>
    </row>
    <row r="8">
      <c r="A8" s="7" t="inlineStr">
        <is>
          <t>Non-fuel revenue</t>
        </is>
      </c>
      <c r="B8" s="6">
        <f>SUM(B6:B7)</f>
        <v/>
      </c>
      <c r="C8" s="6">
        <f>SUM(C6:C7)</f>
        <v/>
      </c>
      <c r="D8" s="6">
        <f>B8-C8</f>
        <v/>
      </c>
      <c r="E8" s="4">
        <f>D8/C8</f>
        <v/>
      </c>
    </row>
    <row r="9">
      <c r="A9" t="inlineStr">
        <is>
          <t>Sales (MWh), finance</t>
        </is>
      </c>
      <c r="B9" s="3" t="n">
        <v>300193.7819025691</v>
      </c>
      <c r="C9" s="3" t="n">
        <v>303681.9899076986</v>
      </c>
      <c r="D9" s="3">
        <f>B9-C9</f>
        <v/>
      </c>
      <c r="E9" s="4">
        <f>D9/C9</f>
        <v/>
      </c>
    </row>
    <row r="10">
      <c r="A10" t="inlineStr">
        <is>
          <t>Non-fuel US cents/kWh</t>
        </is>
      </c>
      <c r="B10" s="13">
        <f>B8/B9*100</f>
        <v/>
      </c>
      <c r="C10" s="13">
        <f>C8/C9*100</f>
        <v/>
      </c>
      <c r="D10" s="13">
        <f>B10-C10</f>
        <v/>
      </c>
      <c r="E10" s="4">
        <f>D10/C10</f>
        <v/>
      </c>
    </row>
    <row r="11">
      <c r="A11" s="7" t="inlineStr">
        <is>
          <t>Bridge (US$'000)</t>
        </is>
      </c>
    </row>
    <row r="12">
      <c r="A12" t="inlineStr">
        <is>
          <t>Volume</t>
        </is>
      </c>
      <c r="D12" s="3">
        <f>D9*C10/100</f>
        <v/>
      </c>
    </row>
    <row r="13">
      <c r="A13" t="inlineStr">
        <is>
          <t>Mix (estimated from class volumes)</t>
        </is>
      </c>
      <c r="D13" s="3" t="n">
        <v>263.6986716688903</v>
      </c>
    </row>
    <row r="14">
      <c r="A14" t="inlineStr">
        <is>
          <t>Rate and other (remainder)</t>
        </is>
      </c>
      <c r="D14" s="3">
        <f>D8-D12-D13</f>
        <v/>
      </c>
    </row>
    <row r="15">
      <c r="A15" s="7" t="inlineStr">
        <is>
          <t>Total movement</t>
        </is>
      </c>
      <c r="D15" s="14">
        <f>SUM(D12:D14)</f>
        <v/>
      </c>
    </row>
    <row r="18">
      <c r="A18" s="9" t="inlineStr">
        <is>
          <t>September 2026 vs prior year</t>
        </is>
      </c>
    </row>
    <row r="19">
      <c r="A19" s="12" t="inlineStr"/>
      <c r="B19" s="12" t="inlineStr">
        <is>
          <t>Actual</t>
        </is>
      </c>
      <c r="C19" s="12" t="inlineStr">
        <is>
          <t>Prior year</t>
        </is>
      </c>
      <c r="D19" s="12" t="inlineStr">
        <is>
          <t>Variance</t>
        </is>
      </c>
      <c r="E19" s="12" t="inlineStr">
        <is>
          <t>Var %</t>
        </is>
      </c>
    </row>
    <row r="20">
      <c r="A20" t="inlineStr">
        <is>
          <t>Energy (incl. demand and F/X)</t>
        </is>
      </c>
      <c r="B20" s="3" t="n">
        <v>27977</v>
      </c>
      <c r="C20" s="3" t="n">
        <v>27451</v>
      </c>
      <c r="D20" s="3">
        <f>B20-C20</f>
        <v/>
      </c>
      <c r="E20" s="4">
        <f>D20/C20</f>
        <v/>
      </c>
    </row>
    <row r="21">
      <c r="A21" t="inlineStr">
        <is>
          <t>Customer charge</t>
        </is>
      </c>
      <c r="B21" s="3" t="n">
        <v>3339</v>
      </c>
      <c r="C21" s="3" t="n">
        <v>3229</v>
      </c>
      <c r="D21" s="3">
        <f>B21-C21</f>
        <v/>
      </c>
      <c r="E21" s="4">
        <f>D21/C21</f>
        <v/>
      </c>
    </row>
    <row r="22">
      <c r="A22" s="7" t="inlineStr">
        <is>
          <t>Non-fuel revenue</t>
        </is>
      </c>
      <c r="B22" s="6">
        <f>SUM(B20:B21)</f>
        <v/>
      </c>
      <c r="C22" s="6">
        <f>SUM(C20:C21)</f>
        <v/>
      </c>
      <c r="D22" s="6">
        <f>B22-C22</f>
        <v/>
      </c>
      <c r="E22" s="4">
        <f>D22/C22</f>
        <v/>
      </c>
    </row>
    <row r="23">
      <c r="A23" t="inlineStr">
        <is>
          <t>Sales (MWh), finance</t>
        </is>
      </c>
      <c r="B23" s="3" t="n">
        <v>300193.7819025691</v>
      </c>
      <c r="C23" s="3" t="n">
        <v>297076</v>
      </c>
      <c r="D23" s="3">
        <f>B23-C23</f>
        <v/>
      </c>
      <c r="E23" s="4">
        <f>D23/C23</f>
        <v/>
      </c>
    </row>
    <row r="24">
      <c r="A24" t="inlineStr">
        <is>
          <t>Non-fuel US cents/kWh</t>
        </is>
      </c>
      <c r="B24" s="13">
        <f>B22/B23*100</f>
        <v/>
      </c>
      <c r="C24" s="13">
        <f>C22/C23*100</f>
        <v/>
      </c>
      <c r="D24" s="13">
        <f>B24-C24</f>
        <v/>
      </c>
      <c r="E24" s="4">
        <f>D24/C24</f>
        <v/>
      </c>
    </row>
    <row r="25">
      <c r="A25" s="7" t="inlineStr">
        <is>
          <t>Bridge (US$'000)</t>
        </is>
      </c>
    </row>
    <row r="26">
      <c r="A26" t="inlineStr">
        <is>
          <t>Volume</t>
        </is>
      </c>
      <c r="D26" s="3">
        <f>D23*C24/100</f>
        <v/>
      </c>
    </row>
    <row r="27">
      <c r="A27" t="inlineStr">
        <is>
          <t>Mix (estimated from class volumes)</t>
        </is>
      </c>
      <c r="D27" s="3" t="n">
        <v>305.4252386508902</v>
      </c>
    </row>
    <row r="28">
      <c r="A28" t="inlineStr">
        <is>
          <t>Rate and other (remainder)</t>
        </is>
      </c>
      <c r="D28" s="3">
        <f>D22-D26-D27</f>
        <v/>
      </c>
    </row>
    <row r="29">
      <c r="A29" s="7" t="inlineStr">
        <is>
          <t>Total movement</t>
        </is>
      </c>
      <c r="D29" s="14">
        <f>SUM(D26:D28)</f>
        <v/>
      </c>
    </row>
    <row r="32">
      <c r="A32" s="9" t="inlineStr">
        <is>
          <t>January - September 2026 vs budget</t>
        </is>
      </c>
    </row>
    <row r="33">
      <c r="A33" s="12" t="inlineStr"/>
      <c r="B33" s="12" t="inlineStr">
        <is>
          <t>Actual</t>
        </is>
      </c>
      <c r="C33" s="12" t="inlineStr">
        <is>
          <t>Budget</t>
        </is>
      </c>
      <c r="D33" s="12" t="inlineStr">
        <is>
          <t>Variance</t>
        </is>
      </c>
      <c r="E33" s="12" t="inlineStr">
        <is>
          <t>Var %</t>
        </is>
      </c>
    </row>
    <row r="34">
      <c r="A34" t="inlineStr">
        <is>
          <t>Energy (incl. demand and F/X)</t>
        </is>
      </c>
      <c r="B34" s="3" t="n">
        <v>231376</v>
      </c>
      <c r="C34" s="3" t="n">
        <v>224730.6627963972</v>
      </c>
      <c r="D34" s="3">
        <f>B34-C34</f>
        <v/>
      </c>
      <c r="E34" s="4">
        <f>D34/C34</f>
        <v/>
      </c>
    </row>
    <row r="35">
      <c r="A35" t="inlineStr">
        <is>
          <t>Customer charge</t>
        </is>
      </c>
      <c r="B35" s="3" t="n">
        <v>29442</v>
      </c>
      <c r="C35" s="3" t="n">
        <v>29012.60628649186</v>
      </c>
      <c r="D35" s="3">
        <f>B35-C35</f>
        <v/>
      </c>
      <c r="E35" s="4">
        <f>D35/C35</f>
        <v/>
      </c>
    </row>
    <row r="36">
      <c r="A36" s="7" t="inlineStr">
        <is>
          <t>Non-fuel revenue</t>
        </is>
      </c>
      <c r="B36" s="6">
        <f>SUM(B34:B35)</f>
        <v/>
      </c>
      <c r="C36" s="6">
        <f>SUM(C34:C35)</f>
        <v/>
      </c>
      <c r="D36" s="6">
        <f>B36-C36</f>
        <v/>
      </c>
      <c r="E36" s="4">
        <f>D36/C36</f>
        <v/>
      </c>
    </row>
    <row r="37">
      <c r="A37" t="inlineStr">
        <is>
          <t>Sales (MWh), finance</t>
        </is>
      </c>
      <c r="B37" s="3" t="n">
        <v>2471820.168807172</v>
      </c>
      <c r="C37" s="3" t="n">
        <v>2427355.058089439</v>
      </c>
      <c r="D37" s="3">
        <f>B37-C37</f>
        <v/>
      </c>
      <c r="E37" s="4">
        <f>D37/C37</f>
        <v/>
      </c>
    </row>
    <row r="38">
      <c r="A38" t="inlineStr">
        <is>
          <t>Non-fuel US cents/kWh</t>
        </is>
      </c>
      <c r="B38" s="13">
        <f>B36/B37*100</f>
        <v/>
      </c>
      <c r="C38" s="13">
        <f>C36/C37*100</f>
        <v/>
      </c>
      <c r="D38" s="13">
        <f>B38-C38</f>
        <v/>
      </c>
      <c r="E38" s="4">
        <f>D38/C38</f>
        <v/>
      </c>
    </row>
    <row r="39">
      <c r="A39" s="7" t="inlineStr">
        <is>
          <t>Bridge (US$'000)</t>
        </is>
      </c>
    </row>
    <row r="40">
      <c r="A40" t="inlineStr">
        <is>
          <t>Volume</t>
        </is>
      </c>
      <c r="D40" s="3">
        <f>D37*C38/100</f>
        <v/>
      </c>
    </row>
    <row r="41">
      <c r="A41" t="inlineStr">
        <is>
          <t>Mix (estimated from class volumes)</t>
        </is>
      </c>
      <c r="D41" s="3" t="n">
        <v>339.2452248673345</v>
      </c>
    </row>
    <row r="42">
      <c r="A42" t="inlineStr">
        <is>
          <t>Rate and other (remainder)</t>
        </is>
      </c>
      <c r="D42" s="3">
        <f>D36-D40-D41</f>
        <v/>
      </c>
    </row>
    <row r="43">
      <c r="A43" s="7" t="inlineStr">
        <is>
          <t>Total movement</t>
        </is>
      </c>
      <c r="D43" s="14">
        <f>SUM(D40:D42)</f>
        <v/>
      </c>
    </row>
    <row r="46">
      <c r="A46" s="9" t="inlineStr">
        <is>
          <t>January - September 2026 vs prior year</t>
        </is>
      </c>
    </row>
    <row r="47">
      <c r="A47" s="12" t="inlineStr"/>
      <c r="B47" s="12" t="inlineStr">
        <is>
          <t>Actual</t>
        </is>
      </c>
      <c r="C47" s="12" t="inlineStr">
        <is>
          <t>Prior year</t>
        </is>
      </c>
      <c r="D47" s="12" t="inlineStr">
        <is>
          <t>Variance</t>
        </is>
      </c>
      <c r="E47" s="12" t="inlineStr">
        <is>
          <t>Var %</t>
        </is>
      </c>
    </row>
    <row r="48">
      <c r="A48" t="inlineStr">
        <is>
          <t>Energy (incl. demand and F/X)</t>
        </is>
      </c>
      <c r="B48" s="3" t="n">
        <v>231376</v>
      </c>
      <c r="C48" s="3" t="n">
        <v>237631</v>
      </c>
      <c r="D48" s="3">
        <f>B48-C48</f>
        <v/>
      </c>
      <c r="E48" s="4">
        <f>D48/C48</f>
        <v/>
      </c>
    </row>
    <row r="49">
      <c r="A49" t="inlineStr">
        <is>
          <t>Customer charge</t>
        </is>
      </c>
      <c r="B49" s="3" t="n">
        <v>29442</v>
      </c>
      <c r="C49" s="3" t="n">
        <v>29207</v>
      </c>
      <c r="D49" s="3">
        <f>B49-C49</f>
        <v/>
      </c>
      <c r="E49" s="4">
        <f>D49/C49</f>
        <v/>
      </c>
    </row>
    <row r="50">
      <c r="A50" s="7" t="inlineStr">
        <is>
          <t>Non-fuel revenue</t>
        </is>
      </c>
      <c r="B50" s="6">
        <f>SUM(B48:B49)</f>
        <v/>
      </c>
      <c r="C50" s="6">
        <f>SUM(C48:C49)</f>
        <v/>
      </c>
      <c r="D50" s="6">
        <f>B50-C50</f>
        <v/>
      </c>
      <c r="E50" s="4">
        <f>D50/C50</f>
        <v/>
      </c>
    </row>
    <row r="51">
      <c r="A51" t="inlineStr">
        <is>
          <t>Sales (MWh), finance</t>
        </is>
      </c>
      <c r="B51" s="3" t="n">
        <v>2471820.168807172</v>
      </c>
      <c r="C51" s="3" t="n">
        <v>2568506.338586382</v>
      </c>
      <c r="D51" s="3">
        <f>B51-C51</f>
        <v/>
      </c>
      <c r="E51" s="4">
        <f>D51/C51</f>
        <v/>
      </c>
    </row>
    <row r="52">
      <c r="A52" t="inlineStr">
        <is>
          <t>Non-fuel US cents/kWh</t>
        </is>
      </c>
      <c r="B52" s="13">
        <f>B50/B51*100</f>
        <v/>
      </c>
      <c r="C52" s="13">
        <f>C50/C51*100</f>
        <v/>
      </c>
      <c r="D52" s="13">
        <f>B52-C52</f>
        <v/>
      </c>
      <c r="E52" s="4">
        <f>D52/C52</f>
        <v/>
      </c>
    </row>
    <row r="53">
      <c r="A53" s="7" t="inlineStr">
        <is>
          <t>Bridge (US$'000)</t>
        </is>
      </c>
    </row>
    <row r="54">
      <c r="A54" t="inlineStr">
        <is>
          <t>Volume</t>
        </is>
      </c>
      <c r="D54" s="3">
        <f>D51*C52/100</f>
        <v/>
      </c>
    </row>
    <row r="55">
      <c r="A55" t="inlineStr">
        <is>
          <t>Mix (estimated from class volumes)</t>
        </is>
      </c>
      <c r="D55" s="3" t="n">
        <v>571.8804931879034</v>
      </c>
    </row>
    <row r="56">
      <c r="A56" t="inlineStr">
        <is>
          <t>Rate and other (remainder)</t>
        </is>
      </c>
      <c r="D56" s="3">
        <f>D50-D54-D55</f>
        <v/>
      </c>
    </row>
    <row r="57">
      <c r="A57" s="7" t="inlineStr">
        <is>
          <t>Total movement</t>
        </is>
      </c>
      <c r="D57" s="14">
        <f>SUM(D54:D56)</f>
        <v/>
      </c>
    </row>
    <row r="60" ht="32" customHeight="1">
      <c r="A60" s="15" t="inlineStr">
        <is>
          <t>Finance reports Sales (MWh) on a normalized basis (September 300,194 MWh, against 294,725 MWh billed on the Earnings Sheet), so volume here differs from the billed volumes used on the other sheets.</t>
        </is>
      </c>
    </row>
  </sheetData>
  <mergeCells count="2">
    <mergeCell ref="A2:G2"/>
    <mergeCell ref="A60:E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 ht="48" customHeight="1">
      <c r="A1" s="8" t="inlineStr">
        <is>
          <t>Totals: JPSCo Financials 09-26, Revenues sheet. Non-fuel = Energy + Customer charge (US$'000); Sales (MWh) is finance's normalized sales. The Energy line carries demand and F/X.</t>
        </is>
      </c>
    </row>
    <row r="2" ht="48" customHeight="1">
      <c r="A2" s="8" t="inlineStr">
        <is>
          <t>Class detail: the financials have no class split of normalized sales or non-fuel revenue. Each class's billed volume and non-fuel revenue (September: Earnings Sheet; year to date: platform January-August plus the Earnings Sheet; budget: budget file with its F/X adjustment lines allocated pro rata; prior year: platform) is scaled by one factor so the class totals equal the finance totals.</t>
        </is>
      </c>
    </row>
    <row r="3" ht="48" customHeight="1">
      <c r="A3" s="8" t="inlineStr">
        <is>
          <t>So the class mix (shares) comes from billed data and the totals come from finance. Mix and rate by class are therefore estimates; the system volume effect and the total variance tie to the financials.</t>
        </is>
      </c>
    </row>
    <row r="4" ht="48" customHeight="1">
      <c r="A4" s="8" t="inlineStr">
        <is>
          <t>Volume effect = change in total MWh at the base average non-fuel rate. Mix = shift of MWh between classes at base class rates. Rate = actual vs base US cents/kWh within each class (tariff, F/X, demand and billing effects).</t>
        </is>
      </c>
    </row>
    <row r="5" ht="48" customHeight="1">
      <c r="A5" s="8" t="inlineStr">
        <is>
          <t>Finance's normalized sales differ from billed sales (September 300,194 MWh normalized against 294,725 MWh billed, Earnings Sheet).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2026-10-15T20:46:58Z</dcterms:created>
  <dcterms:modified xmlns:dcterms="http://purl.org/dc/terms/" xmlns:xsi="http://www.w3.org/2001/XMLSchema-instance" xsi:type="dcterms:W3CDTF">2026-10-15T20:46:59Z</dcterms:modified>
</cp:coreProperties>
</file>