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ay by class" sheetId="1" state="visible" r:id="rId1"/>
    <sheet xmlns:r="http://schemas.openxmlformats.org/officeDocument/2006/relationships" name="Bridge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Revenue (indicative)" sheetId="4" state="visible" r:id="rId4"/>
    <sheet xmlns:r="http://schemas.openxmlformats.org/officeDocument/2006/relationships" name="Transactions - not billed" sheetId="5" state="visible" r:id="rId5"/>
    <sheet xmlns:r="http://schemas.openxmlformats.org/officeDocument/2006/relationships" name="RT40 gap" sheetId="6" state="visible" r:id="rId6"/>
  </sheets>
  <definedNames>
    <definedName name="_xlnm._FilterDatabase" localSheetId="4" hidden="1">'Transactions - not billed'!$A$4:$J$82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.00;[Red]-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wrapText="1"/>
    </xf>
    <xf numFmtId="3" fontId="0" fillId="0" borderId="0" pivotButton="0" quotePrefix="0" xfId="0"/>
    <xf numFmtId="3" fontId="3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September 2026 - three-way reconciliation of sales volume (MWh)</t>
        </is>
      </c>
    </row>
    <row r="2">
      <c r="A2" t="inlineStr">
        <is>
          <t>Earnings Sheet (finance) vs Power BI (Monthly Sales report, customer billed = 1) vs Sales Platform (jps_actuals). Differences are formulas.</t>
        </is>
      </c>
    </row>
    <row r="4" ht="32" customHeight="1">
      <c r="A4" s="2" t="inlineStr">
        <is>
          <t>Class</t>
        </is>
      </c>
      <c r="B4" s="2" t="inlineStr">
        <is>
          <t>Earnings Sheet</t>
        </is>
      </c>
      <c r="C4" s="2" t="inlineStr">
        <is>
          <t>Power BI (billed = 1)</t>
        </is>
      </c>
      <c r="D4" s="2" t="inlineStr">
        <is>
          <t>Sales Platform</t>
        </is>
      </c>
      <c r="E4" s="2" t="inlineStr">
        <is>
          <t>Sheet - Power BI</t>
        </is>
      </c>
      <c r="F4" s="2" t="inlineStr">
        <is>
          <t>Power BI - Platform</t>
        </is>
      </c>
      <c r="G4" s="2" t="inlineStr">
        <is>
          <t>Sheet - Platform</t>
        </is>
      </c>
    </row>
    <row r="5">
      <c r="A5" t="inlineStr">
        <is>
          <t>RT10</t>
        </is>
      </c>
      <c r="B5" s="3" t="n">
        <v>114073.565484</v>
      </c>
      <c r="C5" s="3" t="n">
        <v>114565.971714</v>
      </c>
      <c r="D5" s="3" t="n">
        <v>114565.97173</v>
      </c>
      <c r="E5" s="3">
        <f>B5-C5</f>
        <v/>
      </c>
      <c r="F5" s="3">
        <f>C5-D5</f>
        <v/>
      </c>
      <c r="G5" s="3">
        <f>B5-D5</f>
        <v/>
      </c>
    </row>
    <row r="6">
      <c r="A6" t="inlineStr">
        <is>
          <t>RT20</t>
        </is>
      </c>
      <c r="B6" s="3" t="n">
        <v>61067.921759</v>
      </c>
      <c r="C6" s="3" t="n">
        <v>60617.57067199999</v>
      </c>
      <c r="D6" s="3" t="n">
        <v>60617.57066</v>
      </c>
      <c r="E6" s="3">
        <f>B6-C6</f>
        <v/>
      </c>
      <c r="F6" s="3">
        <f>C6-D6</f>
        <v/>
      </c>
      <c r="G6" s="3">
        <f>B6-D6</f>
        <v/>
      </c>
    </row>
    <row r="7">
      <c r="A7" t="inlineStr">
        <is>
          <t>RT40</t>
        </is>
      </c>
      <c r="B7" s="3" t="n">
        <v>67272.954</v>
      </c>
      <c r="C7" s="3" t="n">
        <v>67312.95569</v>
      </c>
      <c r="D7" s="3" t="n">
        <v>67312.952</v>
      </c>
      <c r="E7" s="3">
        <f>B7-C7</f>
        <v/>
      </c>
      <c r="F7" s="3">
        <f>C7-D7</f>
        <v/>
      </c>
      <c r="G7" s="3">
        <f>B7-D7</f>
        <v/>
      </c>
    </row>
    <row r="8">
      <c r="A8" t="inlineStr">
        <is>
          <t>RT50</t>
        </is>
      </c>
      <c r="B8" s="3" t="n">
        <v>30252.67434</v>
      </c>
      <c r="C8" s="3" t="n">
        <v>30252.67459</v>
      </c>
      <c r="D8" s="3" t="n">
        <v>30252.675</v>
      </c>
      <c r="E8" s="3">
        <f>B8-C8</f>
        <v/>
      </c>
      <c r="F8" s="3">
        <f>C8-D8</f>
        <v/>
      </c>
      <c r="G8" s="3">
        <f>B8-D8</f>
        <v/>
      </c>
    </row>
    <row r="9">
      <c r="A9" t="inlineStr">
        <is>
          <t>RT60-ST</t>
        </is>
      </c>
      <c r="B9" s="3" t="n">
        <v>3414.8725</v>
      </c>
      <c r="C9" s="3" t="n">
        <v>3413.1935</v>
      </c>
      <c r="D9" s="3" t="n">
        <v>3413.193</v>
      </c>
      <c r="E9" s="3">
        <f>B9-C9</f>
        <v/>
      </c>
      <c r="F9" s="3">
        <f>C9-D9</f>
        <v/>
      </c>
      <c r="G9" s="3">
        <f>B9-D9</f>
        <v/>
      </c>
    </row>
    <row r="10">
      <c r="A10" t="inlineStr">
        <is>
          <t>RT70</t>
        </is>
      </c>
      <c r="B10" s="3" t="n">
        <v>18642.651959</v>
      </c>
      <c r="C10" s="3" t="n">
        <v>18642.651959</v>
      </c>
      <c r="D10" s="3" t="n">
        <v>18642.652</v>
      </c>
      <c r="E10" s="3">
        <f>B10-C10</f>
        <v/>
      </c>
      <c r="F10" s="3">
        <f>C10-D10</f>
        <v/>
      </c>
      <c r="G10" s="3">
        <f>B10-D10</f>
        <v/>
      </c>
    </row>
    <row r="11">
      <c r="A11" s="4" t="inlineStr">
        <is>
          <t>Total</t>
        </is>
      </c>
      <c r="B11" s="5">
        <f>SUM(B5:B10)</f>
        <v/>
      </c>
      <c r="C11" s="5">
        <f>SUM(C5:C10)</f>
        <v/>
      </c>
      <c r="D11" s="5">
        <f>SUM(D5:D10)</f>
        <v/>
      </c>
      <c r="E11" s="5">
        <f>SUM(E5:E10)</f>
        <v/>
      </c>
      <c r="F11" s="5">
        <f>SUM(F5:F10)</f>
        <v/>
      </c>
      <c r="G11" s="5">
        <f>SUM(G5:G10)</f>
        <v/>
      </c>
    </row>
    <row r="13">
      <c r="A13" s="4" t="inlineStr">
        <is>
          <t>Notes</t>
        </is>
      </c>
    </row>
    <row r="14" ht="34" customHeight="1">
      <c r="A14" s="6" t="inlineStr">
        <is>
          <t>Power BI and the Platform agree to within 0.01 MWh in every class: the Platform is the Power BI customer-billed = 1 line.</t>
        </is>
      </c>
    </row>
    <row r="15" ht="62" customHeight="1">
      <c r="A15" s="6" t="inlineStr">
        <is>
          <t>Earnings Sheet vs the other two: (1) the Sheet includes not-billed rows (RT10 -11.5, RT20 -30.5, RT60 street lighting +1.7 MWh); (2) RT40 is 40.0 MWh lower on the Sheet, same raw file, cause not identified; (3) the Sheet puts "unassigned"-tariff prepaid (589.7 MWh) in RT20 and everything else in RT10, whereas Power BI and the Platform put only RT20-PAYG (108.9 MWh) in RT20 - this moves 480.9 MWh RT10 -&gt; RT20 with no effect on the total (inferred: ties to the third decimal).</t>
        </is>
      </c>
    </row>
    <row r="16" ht="34" customHeight="1">
      <c r="A16" s="6" t="inlineStr">
        <is>
          <t>Power BI has 9.0 MWh of prepaid with a blank rate category; it is included in RT10 above, as the Platform books it.</t>
        </is>
      </c>
    </row>
    <row r="17" ht="34" customHeight="1">
      <c r="A17" s="6" t="inlineStr">
        <is>
          <t>Power BI customer-billed = 0 rows (not in any report): EV tariff +68.9 MWh and credits/adjustments -40.4 MWh, net +28.6 MWh. Power BI grand total incl. these is 294,833.6 MWh - see the Bridge sheet.</t>
        </is>
      </c>
    </row>
  </sheetData>
  <mergeCells count="4">
    <mergeCell ref="A14:G14"/>
    <mergeCell ref="A16:G16"/>
    <mergeCell ref="A15:G15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90" customWidth="1" min="4" max="4"/>
  </cols>
  <sheetData>
    <row r="1">
      <c r="A1" s="1" t="inlineStr">
        <is>
          <t>Bridge: Earnings Sheet -&gt; Power BI (billed = 1) -&gt; Sales Platform (MWh, September 2026 total)</t>
        </is>
      </c>
    </row>
    <row r="3">
      <c r="A3" s="7" t="inlineStr">
        <is>
          <t>Step</t>
        </is>
      </c>
      <c r="B3" s="7" t="inlineStr">
        <is>
          <t>MWh</t>
        </is>
      </c>
      <c r="C3" s="7" t="inlineStr">
        <is>
          <t>Running total</t>
        </is>
      </c>
      <c r="D3" s="7" t="inlineStr">
        <is>
          <t>Comment</t>
        </is>
      </c>
    </row>
    <row r="4">
      <c r="A4" t="inlineStr">
        <is>
          <t>Earnings Sheet total</t>
        </is>
      </c>
      <c r="B4" s="3">
        <f>'3-way by class'!B11</f>
        <v/>
      </c>
      <c r="C4" s="3">
        <f>B4</f>
        <v/>
      </c>
      <c r="D4" t="inlineStr">
        <is>
          <t>Sheet total MWh (RT10..RT70)</t>
        </is>
      </c>
    </row>
    <row r="5">
      <c r="A5" t="inlineStr">
        <is>
          <t>+ Remove not-billed rows carried on the Sheet</t>
        </is>
      </c>
      <c r="B5" s="3">
        <f>-SUM('Transactions - not billed'!I5:I82)/1000</f>
        <v/>
      </c>
      <c r="C5" s="3">
        <f>C4+B5</f>
        <v/>
      </c>
      <c r="D5" t="inlineStr">
        <is>
          <t>78 transactions on the "Transactions - not billed" sheet (RT10 -11.5, RT20 -30.5, RT60 street lighting +1.7)</t>
        </is>
      </c>
    </row>
    <row r="6">
      <c r="A6" t="inlineStr">
        <is>
          <t>+ RT40 difference</t>
        </is>
      </c>
      <c r="B6" s="3" t="n">
        <v>40.0016900000046</v>
      </c>
      <c r="C6" s="3">
        <f>C5+B6</f>
        <v/>
      </c>
      <c r="D6" t="inlineStr">
        <is>
          <t>Same raw file, Sheet RT40 lower by this amount - transaction NOT identified, see "RT40 gap" sheet</t>
        </is>
      </c>
    </row>
    <row r="7">
      <c r="A7" s="4">
        <f> Power BI billed = 1 (computed)</f>
        <v/>
      </c>
      <c r="B7" s="3" t="n"/>
      <c r="C7" s="5">
        <f>C6</f>
        <v/>
      </c>
      <c r="D7" t="inlineStr"/>
    </row>
    <row r="8">
      <c r="A8" t="inlineStr">
        <is>
          <t>Power BI billed = 1 (reported)</t>
        </is>
      </c>
      <c r="B8" s="3">
        <f>'3-way by class'!C11</f>
        <v/>
      </c>
      <c r="C8" s="3" t="n"/>
      <c r="D8" t="inlineStr">
        <is>
          <t>Power BI pivot, customer billed = 1 line (postpaid + prepaid), Sep-2026</t>
        </is>
      </c>
    </row>
    <row r="9">
      <c r="A9" t="inlineStr">
        <is>
          <t>Unreconciled (computed - reported)</t>
        </is>
      </c>
      <c r="B9" s="3" t="n"/>
      <c r="C9" s="8">
        <f>C7-B8</f>
        <v/>
      </c>
      <c r="D9" t="inlineStr">
        <is>
          <t>Rounding in the Sheet class figures</t>
        </is>
      </c>
    </row>
    <row r="10">
      <c r="A10" t="inlineStr">
        <is>
          <t>Platform less Power BI billed = 1</t>
        </is>
      </c>
      <c r="B10" s="3">
        <f>'3-way by class'!D11-'3-way by class'!C11</f>
        <v/>
      </c>
      <c r="C10" s="3">
        <f>C8+B10</f>
        <v/>
      </c>
      <c r="D10" t="inlineStr">
        <is>
          <t>Rounding (whole-kWh account rows)</t>
        </is>
      </c>
    </row>
    <row r="11">
      <c r="A11" s="4">
        <f> Sales Platform total</f>
        <v/>
      </c>
      <c r="B11" s="3" t="n"/>
      <c r="C11" s="5">
        <f>C10</f>
        <v/>
      </c>
      <c r="D11" t="inlineStr"/>
    </row>
    <row r="12">
      <c r="A12" t="inlineStr">
        <is>
          <t>Sales Platform total (jps_actuals)</t>
        </is>
      </c>
      <c r="B12" s="3">
        <f>'3-way by class'!D11</f>
        <v/>
      </c>
      <c r="C12" s="3" t="n"/>
      <c r="D12" t="inlineStr">
        <is>
          <t>Queried from jps_actuals</t>
        </is>
      </c>
    </row>
    <row r="13">
      <c r="A13" t="inlineStr">
        <is>
          <t>Unreconciled (computed - platform)</t>
        </is>
      </c>
      <c r="B13" s="3" t="n"/>
      <c r="C13" s="8">
        <f>C11-B12</f>
        <v/>
      </c>
      <c r="D13" t="inlineStr">
        <is>
          <t>Should be 0</t>
        </is>
      </c>
    </row>
    <row r="15">
      <c r="A15" t="inlineStr">
        <is>
          <t>Memo - Power BI grand total (all rows)</t>
        </is>
      </c>
      <c r="B15" s="3">
        <f>B8+B16+B17</f>
        <v/>
      </c>
      <c r="C15" s="3" t="n"/>
      <c r="D15" t="inlineStr">
        <is>
          <t>What the Power BI pivot shows as Grand Total</t>
        </is>
      </c>
    </row>
    <row r="16">
      <c r="A16" t="inlineStr">
        <is>
          <t xml:space="preserve">   + EV tariff (customer billed = 0)</t>
        </is>
      </c>
      <c r="B16" s="3" t="n">
        <v>68.93917</v>
      </c>
      <c r="C16" s="3" t="n"/>
      <c r="D16" t="inlineStr">
        <is>
          <t>In no report</t>
        </is>
      </c>
    </row>
    <row r="17">
      <c r="A17" t="inlineStr">
        <is>
          <t xml:space="preserve">   + not-billed credits/adjustments</t>
        </is>
      </c>
      <c r="B17" s="3" t="n">
        <v>-40.36384</v>
      </c>
      <c r="C17" s="3" t="n"/>
      <c r="D17" t="inlineStr">
        <is>
          <t>In no report except the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6" customWidth="1" min="4" max="4"/>
    <col width="22" customWidth="1" min="5" max="5"/>
    <col width="16" customWidth="1" min="6" max="6"/>
    <col width="70" customWidth="1" min="7" max="7"/>
  </cols>
  <sheetData>
    <row r="1">
      <c r="A1" s="4" t="inlineStr">
        <is>
          <t>What each source includes (MWh). Values from the Power BI table (Sep-2026); Y/N = included in that report.</t>
        </is>
      </c>
    </row>
    <row r="3">
      <c r="A3" s="7" t="inlineStr">
        <is>
          <t>Component</t>
        </is>
      </c>
      <c r="B3" s="7" t="inlineStr">
        <is>
          <t>Class</t>
        </is>
      </c>
      <c r="C3" s="7" t="inlineStr">
        <is>
          <t>MWh</t>
        </is>
      </c>
      <c r="D3" s="7" t="inlineStr">
        <is>
          <t>Earnings Sheet</t>
        </is>
      </c>
      <c r="E3" s="7" t="inlineStr">
        <is>
          <t>Power BI (billed = 1)</t>
        </is>
      </c>
      <c r="F3" s="7" t="inlineStr">
        <is>
          <t>Sales Platform</t>
        </is>
      </c>
      <c r="G3" s="7" t="inlineStr">
        <is>
          <t>Note</t>
        </is>
      </c>
    </row>
    <row r="4">
      <c r="A4" t="inlineStr">
        <is>
          <t>Postpaid billed - RT10 (RM+EM)</t>
        </is>
      </c>
      <c r="B4" t="inlineStr">
        <is>
          <t>RT10</t>
        </is>
      </c>
      <c r="C4" s="3" t="n">
        <v>111556.15168</v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/>
    </row>
    <row r="5">
      <c r="A5" t="inlineStr">
        <is>
          <t>Prepaid-tagged billed (PR10)</t>
        </is>
      </c>
      <c r="B5" t="inlineStr">
        <is>
          <t>RT10</t>
        </is>
      </c>
      <c r="C5" s="3" t="n">
        <v>113.08744</v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In the postpaid file; premise also in the prepaid report. Includes one 99.99 MWh bill (cust 1598805)</t>
        </is>
      </c>
    </row>
    <row r="6">
      <c r="A6" t="inlineStr">
        <is>
          <t>Prepaid report - RT10-PAYG tariff</t>
        </is>
      </c>
      <c r="B6" t="inlineStr">
        <is>
          <t>RT10</t>
        </is>
      </c>
      <c r="C6" s="3" t="n">
        <v>2298.017457</v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/>
    </row>
    <row r="7">
      <c r="A7" t="inlineStr">
        <is>
          <t>Prepaid report - unassigned tariff</t>
        </is>
      </c>
      <c r="B7" t="inlineStr">
        <is>
          <t>RT10 (Sheet: RT20)</t>
        </is>
      </c>
      <c r="C7" s="3" t="n">
        <v>589.730893</v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Class differs: Sheet shows it in RT20</t>
        </is>
      </c>
    </row>
    <row r="8">
      <c r="A8" t="inlineStr">
        <is>
          <t>Prepaid report - blank tariff</t>
        </is>
      </c>
      <c r="B8" t="inlineStr">
        <is>
          <t>RT10</t>
        </is>
      </c>
      <c r="C8" s="3" t="n">
        <v>8.984244</v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Blank rate category in Power BI</t>
        </is>
      </c>
    </row>
    <row r="9">
      <c r="A9" t="inlineStr">
        <is>
          <t>Postpaid billed - RT20 (CM)</t>
        </is>
      </c>
      <c r="B9" t="inlineStr">
        <is>
          <t>RT20</t>
        </is>
      </c>
      <c r="C9" s="3" t="n">
        <v>60508.686357</v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/>
    </row>
    <row r="10">
      <c r="A10" t="inlineStr">
        <is>
          <t>Prepaid-tagged billed (PC / PR20)</t>
        </is>
      </c>
      <c r="B10" t="inlineStr">
        <is>
          <t>RT20</t>
        </is>
      </c>
      <c r="C10" s="3" t="n">
        <v>0.02675</v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/>
    </row>
    <row r="11">
      <c r="A11" t="inlineStr">
        <is>
          <t>Prepaid report - RT20-PAYG tariff</t>
        </is>
      </c>
      <c r="B11" t="inlineStr">
        <is>
          <t>RT20 (Sheet: RT10)</t>
        </is>
      </c>
      <c r="C11" s="3" t="n">
        <v>108.857565</v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Class differs: Sheet shows it in RT10</t>
        </is>
      </c>
    </row>
    <row r="12">
      <c r="A12" t="inlineStr">
        <is>
          <t>RT40 billed (LC-40)</t>
        </is>
      </c>
      <c r="B12" t="inlineStr">
        <is>
          <t>RT40</t>
        </is>
      </c>
      <c r="C12" s="3" t="n">
        <v>67312.95569</v>
      </c>
      <c r="D12" s="9" t="inlineStr">
        <is>
          <t>Y (less 40.0)</t>
        </is>
      </c>
      <c r="E12" t="inlineStr">
        <is>
          <t>Y</t>
        </is>
      </c>
      <c r="F12" t="inlineStr">
        <is>
          <t>Y</t>
        </is>
      </c>
      <c r="G12" t="inlineStr">
        <is>
          <t>Sheet RT40 is 40.002 MWh lower - unexplained</t>
        </is>
      </c>
    </row>
    <row r="13">
      <c r="A13" t="inlineStr">
        <is>
          <t>RT50 billed (LC-50)</t>
        </is>
      </c>
      <c r="B13" t="inlineStr">
        <is>
          <t>RT50</t>
        </is>
      </c>
      <c r="C13" s="3" t="n">
        <v>30252.67459</v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/>
    </row>
    <row r="14">
      <c r="A14" t="inlineStr">
        <is>
          <t>RT60 billed (ST+TL)</t>
        </is>
      </c>
      <c r="B14" t="inlineStr">
        <is>
          <t>RT60-ST</t>
        </is>
      </c>
      <c r="C14" s="3" t="n">
        <v>3413.1935</v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/>
    </row>
    <row r="15">
      <c r="A15" t="inlineStr">
        <is>
          <t>RT70 billed (WT)</t>
        </is>
      </c>
      <c r="B15" t="inlineStr">
        <is>
          <t>RT70</t>
        </is>
      </c>
      <c r="C15" s="3" t="n">
        <v>18642.651959</v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/>
    </row>
    <row r="16">
      <c r="A16" t="inlineStr">
        <is>
          <t>Not-billed rows - RT10 (RM+EM+PR)</t>
        </is>
      </c>
      <c r="B16" t="inlineStr">
        <is>
          <t>RT10</t>
        </is>
      </c>
      <c r="C16" s="3" t="n">
        <v>-11.52279</v>
      </c>
      <c r="D16" t="inlineStr">
        <is>
          <t>Y</t>
        </is>
      </c>
      <c r="E16" s="9" t="inlineStr">
        <is>
          <t>N</t>
        </is>
      </c>
      <c r="F16" s="9" t="inlineStr">
        <is>
          <t>N</t>
        </is>
      </c>
      <c r="G16" t="inlineStr">
        <is>
          <t>Credits/adjustments flagged cust_billed = 0</t>
        </is>
      </c>
    </row>
    <row r="17">
      <c r="A17" t="inlineStr">
        <is>
          <t>Not-billed rows - RT20 (CM+PC)</t>
        </is>
      </c>
      <c r="B17" t="inlineStr">
        <is>
          <t>RT20</t>
        </is>
      </c>
      <c r="C17" s="3" t="n">
        <v>-30.52004999999999</v>
      </c>
      <c r="D17" t="inlineStr">
        <is>
          <t>Y</t>
        </is>
      </c>
      <c r="E17" s="9" t="inlineStr">
        <is>
          <t>N</t>
        </is>
      </c>
      <c r="F17" s="9" t="inlineStr">
        <is>
          <t>N</t>
        </is>
      </c>
      <c r="G17" t="inlineStr"/>
    </row>
    <row r="18">
      <c r="A18" t="inlineStr">
        <is>
          <t>Not-billed rows - RT60 (ST)</t>
        </is>
      </c>
      <c r="B18" t="inlineStr">
        <is>
          <t>RT60-ST</t>
        </is>
      </c>
      <c r="C18" s="3" t="n">
        <v>1.679</v>
      </c>
      <c r="D18" t="inlineStr">
        <is>
          <t>Y</t>
        </is>
      </c>
      <c r="E18" s="9" t="inlineStr">
        <is>
          <t>N</t>
        </is>
      </c>
      <c r="F18" s="9" t="inlineStr">
        <is>
          <t>N</t>
        </is>
      </c>
      <c r="G18" t="inlineStr"/>
    </row>
    <row r="19">
      <c r="A19" t="inlineStr">
        <is>
          <t>EV tariff (26 premises) - not billed</t>
        </is>
      </c>
      <c r="B19" t="inlineStr">
        <is>
          <t>EV</t>
        </is>
      </c>
      <c r="C19" s="3" t="n">
        <v>68.93917</v>
      </c>
      <c r="D19" s="9" t="inlineStr">
        <is>
          <t>N</t>
        </is>
      </c>
      <c r="E19" s="9" t="inlineStr">
        <is>
          <t>N</t>
        </is>
      </c>
      <c r="F19" s="9" t="inlineStr">
        <is>
          <t>N</t>
        </is>
      </c>
      <c r="G19" t="inlineStr">
        <is>
          <t>Flagged cust_billed = 0; in no report</t>
        </is>
      </c>
    </row>
    <row r="20">
      <c r="A20" s="4" t="inlineStr">
        <is>
          <t>Total of components included in Power BI (billed = 1)</t>
        </is>
      </c>
      <c r="C20" s="5">
        <f>SUMIF(E4:E19,"Y",C4:C19)</f>
        <v/>
      </c>
    </row>
    <row r="21">
      <c r="A21" t="inlineStr">
        <is>
          <t>Power BI billed = 1 total (check)</t>
        </is>
      </c>
      <c r="C21" s="3">
        <f>'3-way by class'!C11</f>
        <v/>
      </c>
    </row>
    <row r="22">
      <c r="A22" t="inlineStr">
        <is>
          <t>Difference</t>
        </is>
      </c>
      <c r="C22" s="8">
        <f>C20-C21</f>
        <v/>
      </c>
    </row>
    <row r="23">
      <c r="A23" t="inlineStr">
        <is>
          <t>All components (= Power BI grand total)</t>
        </is>
      </c>
      <c r="C23" s="3">
        <f>SUM(C4:C19)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Revenue by class, J$ - indicative only, the sources are NOT on the same basis</t>
        </is>
      </c>
    </row>
    <row r="3" ht="62" customHeight="1">
      <c r="A3" s="10" t="inlineStr">
        <is>
          <t>Class</t>
        </is>
      </c>
      <c r="B3" s="10" t="inlineStr">
        <is>
          <t>Earnings Sheet</t>
        </is>
      </c>
      <c r="C3" s="10" t="inlineStr">
        <is>
          <t>Power BI billed = 1 (postpaid net_revenue; model has no prepaid revenue)</t>
        </is>
      </c>
      <c r="D3" s="10" t="inlineStr">
        <is>
          <t>Sales Platform (net of GCT)</t>
        </is>
      </c>
      <c r="E3" s="10" t="inlineStr">
        <is>
          <t>Sheet - Platform</t>
        </is>
      </c>
    </row>
    <row r="4">
      <c r="A4" t="inlineStr">
        <is>
          <t>RT10</t>
        </is>
      </c>
      <c r="B4" s="11" t="n">
        <v>6632680624.09</v>
      </c>
      <c r="C4" s="11" t="n">
        <v>6458392619.18</v>
      </c>
      <c r="D4" s="11" t="n">
        <v>6624977735.49</v>
      </c>
      <c r="E4" s="11">
        <f>B4-D4</f>
        <v/>
      </c>
    </row>
    <row r="5">
      <c r="A5" t="inlineStr">
        <is>
          <t>RT20</t>
        </is>
      </c>
      <c r="B5" s="11" t="n">
        <v>3291303967.55</v>
      </c>
      <c r="C5" s="11" t="n">
        <v>3292917410.3</v>
      </c>
      <c r="D5" s="11" t="n">
        <v>3299486402.46</v>
      </c>
      <c r="E5" s="11">
        <f>B5-D5</f>
        <v/>
      </c>
    </row>
    <row r="6">
      <c r="A6" t="inlineStr">
        <is>
          <t>RT40</t>
        </is>
      </c>
      <c r="B6" s="11" t="n">
        <v>3246927153.83</v>
      </c>
      <c r="C6" s="11" t="n">
        <v>3199838470.37</v>
      </c>
      <c r="D6" s="11" t="n">
        <v>3199838484</v>
      </c>
      <c r="E6" s="11">
        <f>B6-D6</f>
        <v/>
      </c>
    </row>
    <row r="7">
      <c r="A7" t="inlineStr">
        <is>
          <t>RT50</t>
        </is>
      </c>
      <c r="B7" s="11" t="n">
        <v>1209611076.88</v>
      </c>
      <c r="C7" s="11" t="n">
        <v>1203080583.64</v>
      </c>
      <c r="D7" s="11" t="n">
        <v>1203080583</v>
      </c>
      <c r="E7" s="11">
        <f>B7-D7</f>
        <v/>
      </c>
    </row>
    <row r="8">
      <c r="A8" t="inlineStr">
        <is>
          <t>RT60-ST</t>
        </is>
      </c>
      <c r="B8" s="11" t="n">
        <v>213697097.13</v>
      </c>
      <c r="C8" s="11" t="n">
        <v>213697097.13</v>
      </c>
      <c r="D8" s="11" t="n">
        <v>213697099</v>
      </c>
      <c r="E8" s="11">
        <f>B8-D8</f>
        <v/>
      </c>
    </row>
    <row r="9">
      <c r="A9" t="inlineStr">
        <is>
          <t>RT70</t>
        </is>
      </c>
      <c r="B9" s="11" t="n">
        <v>800527747.3099998</v>
      </c>
      <c r="C9" s="11" t="n">
        <v>874143466.28</v>
      </c>
      <c r="D9" s="11" t="n">
        <v>874143463</v>
      </c>
      <c r="E9" s="11">
        <f>B9-D9</f>
        <v/>
      </c>
    </row>
    <row r="10">
      <c r="A10" s="4" t="inlineStr">
        <is>
          <t>Total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</row>
    <row r="12">
      <c r="A12" t="inlineStr">
        <is>
          <t>The Sheet revenue includes items the other two do not carry (fuel exchange, rate adjustments, true-ups, RPD interest). Power BI has no prepaid revenue. Not bridged.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4" customWidth="1" min="9" max="9"/>
    <col width="16" customWidth="1" min="10" max="10"/>
  </cols>
  <sheetData>
    <row r="1">
      <c r="A1" s="4" t="inlineStr">
        <is>
          <t>Not-billed transactions the Earnings Sheet carries in RT10 / RT20 / RT60 (cust_billed = 0, kWh &lt;&gt; 0), September 2026 raw billing file</t>
        </is>
      </c>
    </row>
    <row r="2">
      <c r="A2" t="inlineStr">
        <is>
          <t>Power BI (billed = 1) and the Platform exclude these. Total kWh feeds the Bridge sheet.</t>
        </is>
      </c>
    </row>
    <row r="4">
      <c r="A4" s="7" t="inlineStr">
        <is>
          <t>Cust code</t>
        </is>
      </c>
      <c r="B4" s="7" t="inlineStr">
        <is>
          <t>Premise</t>
        </is>
      </c>
      <c r="C4" s="7" t="inlineStr">
        <is>
          <t>Name</t>
        </is>
      </c>
      <c r="D4" s="7" t="inlineStr">
        <is>
          <t>Srat code</t>
        </is>
      </c>
      <c r="E4" s="7" t="inlineStr">
        <is>
          <t>Rate class</t>
        </is>
      </c>
      <c r="F4" s="7" t="inlineStr">
        <is>
          <t>Class</t>
        </is>
      </c>
      <c r="G4" s="7" t="inlineStr">
        <is>
          <t>Parish</t>
        </is>
      </c>
      <c r="H4" s="7" t="inlineStr">
        <is>
          <t>Account status</t>
        </is>
      </c>
      <c r="I4" s="7" t="inlineStr">
        <is>
          <t>kWh</t>
        </is>
      </c>
      <c r="J4" s="7" t="inlineStr">
        <is>
          <t>Net revenue J$</t>
        </is>
      </c>
    </row>
    <row r="5">
      <c r="A5" t="inlineStr">
        <is>
          <t>1433340</t>
        </is>
      </c>
      <c r="B5" t="inlineStr">
        <is>
          <t>593842</t>
        </is>
      </c>
      <c r="C5" t="inlineStr">
        <is>
          <t>Bryan, Alfred D.</t>
        </is>
      </c>
      <c r="D5" t="inlineStr">
        <is>
          <t>RT10</t>
        </is>
      </c>
      <c r="E5" t="inlineStr">
        <is>
          <t>RM</t>
        </is>
      </c>
      <c r="F5" t="inlineStr">
        <is>
          <t>RT10</t>
        </is>
      </c>
      <c r="G5" t="inlineStr">
        <is>
          <t>Spanish Town</t>
        </is>
      </c>
      <c r="H5" t="inlineStr">
        <is>
          <t>I</t>
        </is>
      </c>
      <c r="I5" s="13" t="n">
        <v>-1948.33</v>
      </c>
      <c r="J5" s="13" t="n">
        <v>-110344.91</v>
      </c>
    </row>
    <row r="6">
      <c r="A6" t="inlineStr">
        <is>
          <t>503497</t>
        </is>
      </c>
      <c r="B6" t="inlineStr">
        <is>
          <t>507968</t>
        </is>
      </c>
      <c r="C6" t="inlineStr">
        <is>
          <t>Bee, John M.</t>
        </is>
      </c>
      <c r="D6" t="inlineStr">
        <is>
          <t>RT10</t>
        </is>
      </c>
      <c r="E6" t="inlineStr">
        <is>
          <t>RM</t>
        </is>
      </c>
      <c r="F6" t="inlineStr">
        <is>
          <t>RT10</t>
        </is>
      </c>
      <c r="G6" t="inlineStr">
        <is>
          <t>St. Ann's Bay</t>
        </is>
      </c>
      <c r="H6" t="inlineStr">
        <is>
          <t>I</t>
        </is>
      </c>
      <c r="I6" s="13" t="n">
        <v>-1305.25</v>
      </c>
      <c r="J6" s="13" t="n">
        <v>-77741.39999999999</v>
      </c>
    </row>
    <row r="7">
      <c r="A7" t="inlineStr">
        <is>
          <t>1435209</t>
        </is>
      </c>
      <c r="B7" t="inlineStr">
        <is>
          <t>984929</t>
        </is>
      </c>
      <c r="C7" t="inlineStr">
        <is>
          <t>Atland, Monique M.</t>
        </is>
      </c>
      <c r="D7" t="inlineStr">
        <is>
          <t>RT10</t>
        </is>
      </c>
      <c r="E7" t="inlineStr">
        <is>
          <t>RM</t>
        </is>
      </c>
      <c r="F7" t="inlineStr">
        <is>
          <t>RT10</t>
        </is>
      </c>
      <c r="G7" t="inlineStr">
        <is>
          <t>Montego Bay</t>
        </is>
      </c>
      <c r="H7" t="inlineStr">
        <is>
          <t>I</t>
        </is>
      </c>
      <c r="I7" s="13" t="n">
        <v>-1022.54</v>
      </c>
      <c r="J7" s="13" t="n">
        <v>-68671.33</v>
      </c>
    </row>
    <row r="8">
      <c r="A8" t="inlineStr">
        <is>
          <t>1591991</t>
        </is>
      </c>
      <c r="B8" t="inlineStr">
        <is>
          <t>1039010</t>
        </is>
      </c>
      <c r="C8" t="inlineStr">
        <is>
          <t>Nelson, Melissa L.</t>
        </is>
      </c>
      <c r="D8" t="inlineStr">
        <is>
          <t>RT10</t>
        </is>
      </c>
      <c r="E8" t="inlineStr">
        <is>
          <t>RM</t>
        </is>
      </c>
      <c r="F8" t="inlineStr">
        <is>
          <t>RT10</t>
        </is>
      </c>
      <c r="G8" t="inlineStr">
        <is>
          <t>Spanish Town</t>
        </is>
      </c>
      <c r="H8" t="inlineStr">
        <is>
          <t>I</t>
        </is>
      </c>
      <c r="I8" s="13" t="n">
        <v>-851.6</v>
      </c>
      <c r="J8" s="13" t="n">
        <v>-51816.63</v>
      </c>
    </row>
    <row r="9">
      <c r="A9" t="inlineStr">
        <is>
          <t>435172</t>
        </is>
      </c>
      <c r="B9" t="inlineStr">
        <is>
          <t>437728</t>
        </is>
      </c>
      <c r="C9" t="inlineStr">
        <is>
          <t>Cooke, Ezron</t>
        </is>
      </c>
      <c r="D9" t="inlineStr">
        <is>
          <t>RT10</t>
        </is>
      </c>
      <c r="E9" t="inlineStr">
        <is>
          <t>RM</t>
        </is>
      </c>
      <c r="F9" t="inlineStr">
        <is>
          <t>RT10</t>
        </is>
      </c>
      <c r="G9" t="inlineStr">
        <is>
          <t>Montego Bay</t>
        </is>
      </c>
      <c r="H9" t="inlineStr">
        <is>
          <t>I</t>
        </is>
      </c>
      <c r="I9" s="13" t="n">
        <v>-845.5</v>
      </c>
      <c r="J9" s="13" t="n">
        <v>-46917.46</v>
      </c>
    </row>
    <row r="10">
      <c r="A10" t="inlineStr">
        <is>
          <t>297436</t>
        </is>
      </c>
      <c r="B10" t="inlineStr">
        <is>
          <t>299443</t>
        </is>
      </c>
      <c r="C10" t="inlineStr">
        <is>
          <t>Ingram, Rupert</t>
        </is>
      </c>
      <c r="D10" t="inlineStr">
        <is>
          <t>RT10</t>
        </is>
      </c>
      <c r="E10" t="inlineStr">
        <is>
          <t>RM</t>
        </is>
      </c>
      <c r="F10" t="inlineStr">
        <is>
          <t>RT10</t>
        </is>
      </c>
      <c r="G10" t="inlineStr">
        <is>
          <t>KSA South</t>
        </is>
      </c>
      <c r="H10" t="inlineStr">
        <is>
          <t>I</t>
        </is>
      </c>
      <c r="I10" s="13" t="n">
        <v>-621.36</v>
      </c>
      <c r="J10" s="13" t="n">
        <v>-34761.97</v>
      </c>
    </row>
    <row r="11">
      <c r="A11" t="inlineStr">
        <is>
          <t>629944</t>
        </is>
      </c>
      <c r="B11" t="inlineStr">
        <is>
          <t>866428</t>
        </is>
      </c>
      <c r="C11" t="inlineStr">
        <is>
          <t>Heron, Merle</t>
        </is>
      </c>
      <c r="D11" t="inlineStr">
        <is>
          <t>RT10</t>
        </is>
      </c>
      <c r="E11" t="inlineStr">
        <is>
          <t>RM</t>
        </is>
      </c>
      <c r="F11" t="inlineStr">
        <is>
          <t>RT10</t>
        </is>
      </c>
      <c r="G11" t="inlineStr">
        <is>
          <t>Sav-la-Mar</t>
        </is>
      </c>
      <c r="H11" t="inlineStr">
        <is>
          <t>I</t>
        </is>
      </c>
      <c r="I11" s="13" t="n">
        <v>-588.39</v>
      </c>
      <c r="J11" s="13" t="n">
        <v>-33975.44</v>
      </c>
    </row>
    <row r="12">
      <c r="A12" t="inlineStr">
        <is>
          <t>1582452</t>
        </is>
      </c>
      <c r="B12" t="inlineStr">
        <is>
          <t>1228882</t>
        </is>
      </c>
      <c r="C12" t="inlineStr">
        <is>
          <t>Nettleford, Ingrid F.</t>
        </is>
      </c>
      <c r="D12" t="inlineStr">
        <is>
          <t>RT10</t>
        </is>
      </c>
      <c r="E12" t="inlineStr">
        <is>
          <t>RM</t>
        </is>
      </c>
      <c r="F12" t="inlineStr">
        <is>
          <t>RT10</t>
        </is>
      </c>
      <c r="G12" t="inlineStr">
        <is>
          <t>Montego Bay</t>
        </is>
      </c>
      <c r="H12" t="inlineStr">
        <is>
          <t>I</t>
        </is>
      </c>
      <c r="I12" s="13" t="n">
        <v>-522.97</v>
      </c>
      <c r="J12" s="13" t="n">
        <v>-30713.56</v>
      </c>
    </row>
    <row r="13">
      <c r="A13" t="inlineStr">
        <is>
          <t>152818</t>
        </is>
      </c>
      <c r="B13" t="inlineStr">
        <is>
          <t>154383</t>
        </is>
      </c>
      <c r="C13" t="inlineStr">
        <is>
          <t>Ledgister, Trevor A.</t>
        </is>
      </c>
      <c r="D13" t="inlineStr">
        <is>
          <t>RT10</t>
        </is>
      </c>
      <c r="E13" t="inlineStr">
        <is>
          <t>RM</t>
        </is>
      </c>
      <c r="F13" t="inlineStr">
        <is>
          <t>RT10</t>
        </is>
      </c>
      <c r="G13" t="inlineStr">
        <is>
          <t>Black River</t>
        </is>
      </c>
      <c r="H13" t="inlineStr">
        <is>
          <t>I</t>
        </is>
      </c>
      <c r="I13" s="13" t="n">
        <v>-491.51</v>
      </c>
      <c r="J13" s="13" t="n">
        <v>-29196.42</v>
      </c>
    </row>
    <row r="14">
      <c r="A14" t="inlineStr">
        <is>
          <t>1053289</t>
        </is>
      </c>
      <c r="B14" t="inlineStr">
        <is>
          <t>176925</t>
        </is>
      </c>
      <c r="C14" t="inlineStr">
        <is>
          <t>Beckford, Damean L.</t>
        </is>
      </c>
      <c r="D14" t="inlineStr">
        <is>
          <t>RT10</t>
        </is>
      </c>
      <c r="E14" t="inlineStr">
        <is>
          <t>RM</t>
        </is>
      </c>
      <c r="F14" t="inlineStr">
        <is>
          <t>RT10</t>
        </is>
      </c>
      <c r="G14" t="inlineStr">
        <is>
          <t>Portmore</t>
        </is>
      </c>
      <c r="H14" t="inlineStr">
        <is>
          <t>I</t>
        </is>
      </c>
      <c r="I14" s="13" t="n">
        <v>-466.02</v>
      </c>
      <c r="J14" s="13" t="n">
        <v>-27206.19</v>
      </c>
    </row>
    <row r="15">
      <c r="A15" t="inlineStr">
        <is>
          <t>1590418</t>
        </is>
      </c>
      <c r="B15" t="inlineStr">
        <is>
          <t>680177</t>
        </is>
      </c>
      <c r="C15" t="inlineStr">
        <is>
          <t>Gooden, Tianna A.</t>
        </is>
      </c>
      <c r="D15" t="inlineStr">
        <is>
          <t>RT10</t>
        </is>
      </c>
      <c r="E15" t="inlineStr">
        <is>
          <t>RM</t>
        </is>
      </c>
      <c r="F15" t="inlineStr">
        <is>
          <t>RT10</t>
        </is>
      </c>
      <c r="G15" t="inlineStr">
        <is>
          <t>Spanish Town</t>
        </is>
      </c>
      <c r="H15" t="inlineStr">
        <is>
          <t>I</t>
        </is>
      </c>
      <c r="I15" s="13" t="n">
        <v>-450.17</v>
      </c>
      <c r="J15" s="13" t="n">
        <v>-23896.57</v>
      </c>
    </row>
    <row r="16">
      <c r="A16" t="inlineStr">
        <is>
          <t>1299149</t>
        </is>
      </c>
      <c r="B16" t="inlineStr">
        <is>
          <t>1159895</t>
        </is>
      </c>
      <c r="C16" t="inlineStr">
        <is>
          <t>Sheyer, Elfie J.</t>
        </is>
      </c>
      <c r="D16" t="inlineStr">
        <is>
          <t>RT10</t>
        </is>
      </c>
      <c r="E16" t="inlineStr">
        <is>
          <t>RM</t>
        </is>
      </c>
      <c r="F16" t="inlineStr">
        <is>
          <t>RT10</t>
        </is>
      </c>
      <c r="G16" t="inlineStr">
        <is>
          <t>Black River</t>
        </is>
      </c>
      <c r="H16" t="inlineStr">
        <is>
          <t>I</t>
        </is>
      </c>
      <c r="I16" s="13" t="n">
        <v>-408.34</v>
      </c>
      <c r="J16" s="13" t="n">
        <v>-28527.65</v>
      </c>
    </row>
    <row r="17">
      <c r="A17" t="inlineStr">
        <is>
          <t>1374847</t>
        </is>
      </c>
      <c r="B17" t="inlineStr">
        <is>
          <t>243464</t>
        </is>
      </c>
      <c r="C17" t="inlineStr">
        <is>
          <t>Arnold Blackwood, Shaneka A.</t>
        </is>
      </c>
      <c r="D17" t="inlineStr">
        <is>
          <t>RT10</t>
        </is>
      </c>
      <c r="E17" t="inlineStr">
        <is>
          <t>RM</t>
        </is>
      </c>
      <c r="F17" t="inlineStr">
        <is>
          <t>RT10</t>
        </is>
      </c>
      <c r="G17" t="inlineStr">
        <is>
          <t>Portmore</t>
        </is>
      </c>
      <c r="H17" t="inlineStr">
        <is>
          <t>I</t>
        </is>
      </c>
      <c r="I17" s="13" t="n">
        <v>-406</v>
      </c>
      <c r="J17" s="13" t="n">
        <v>-17835.47</v>
      </c>
    </row>
    <row r="18">
      <c r="A18" t="inlineStr">
        <is>
          <t>1470352</t>
        </is>
      </c>
      <c r="B18" t="inlineStr">
        <is>
          <t>375822</t>
        </is>
      </c>
      <c r="C18" t="inlineStr">
        <is>
          <t>Kandekore, Kimano K.</t>
        </is>
      </c>
      <c r="D18" t="inlineStr">
        <is>
          <t>PR10</t>
        </is>
      </c>
      <c r="E18" t="inlineStr">
        <is>
          <t>PR</t>
        </is>
      </c>
      <c r="F18" t="inlineStr">
        <is>
          <t>RT10</t>
        </is>
      </c>
      <c r="G18" t="inlineStr">
        <is>
          <t>KSA North</t>
        </is>
      </c>
      <c r="H18" t="inlineStr">
        <is>
          <t>A</t>
        </is>
      </c>
      <c r="I18" s="13" t="n">
        <v>-296.14</v>
      </c>
      <c r="J18" s="13" t="n">
        <v>-17802.72</v>
      </c>
    </row>
    <row r="19">
      <c r="A19" t="inlineStr">
        <is>
          <t>125334</t>
        </is>
      </c>
      <c r="B19" t="inlineStr">
        <is>
          <t>126566</t>
        </is>
      </c>
      <c r="C19" t="inlineStr">
        <is>
          <t>Laird, Lester B.</t>
        </is>
      </c>
      <c r="D19" t="inlineStr">
        <is>
          <t>RT10</t>
        </is>
      </c>
      <c r="E19" t="inlineStr">
        <is>
          <t>RM</t>
        </is>
      </c>
      <c r="F19" t="inlineStr">
        <is>
          <t>RT10</t>
        </is>
      </c>
      <c r="G19" t="inlineStr">
        <is>
          <t>Black River</t>
        </is>
      </c>
      <c r="H19" t="inlineStr">
        <is>
          <t>I</t>
        </is>
      </c>
      <c r="I19" s="13" t="n">
        <v>-286.04</v>
      </c>
      <c r="J19" s="13" t="n">
        <v>-15559.89</v>
      </c>
    </row>
    <row r="20">
      <c r="A20" t="inlineStr">
        <is>
          <t>1590479</t>
        </is>
      </c>
      <c r="B20" t="inlineStr">
        <is>
          <t>1023090</t>
        </is>
      </c>
      <c r="C20" t="inlineStr">
        <is>
          <t>Whyte, Aeisha M.</t>
        </is>
      </c>
      <c r="D20" t="inlineStr">
        <is>
          <t>RT10</t>
        </is>
      </c>
      <c r="E20" t="inlineStr">
        <is>
          <t>RM</t>
        </is>
      </c>
      <c r="F20" t="inlineStr">
        <is>
          <t>RT10</t>
        </is>
      </c>
      <c r="G20" t="inlineStr">
        <is>
          <t>Spanish Town</t>
        </is>
      </c>
      <c r="H20" t="inlineStr">
        <is>
          <t>I</t>
        </is>
      </c>
      <c r="I20" s="13" t="n">
        <v>-276.73</v>
      </c>
      <c r="J20" s="13" t="n">
        <v>-15301.54</v>
      </c>
    </row>
    <row r="21">
      <c r="A21" t="inlineStr">
        <is>
          <t>1595205</t>
        </is>
      </c>
      <c r="B21" t="inlineStr">
        <is>
          <t>405771</t>
        </is>
      </c>
      <c r="C21" t="inlineStr">
        <is>
          <t>Reid, Everton</t>
        </is>
      </c>
      <c r="D21" t="inlineStr">
        <is>
          <t>RT10</t>
        </is>
      </c>
      <c r="E21" t="inlineStr">
        <is>
          <t>RM</t>
        </is>
      </c>
      <c r="F21" t="inlineStr">
        <is>
          <t>RT10</t>
        </is>
      </c>
      <c r="G21" t="inlineStr">
        <is>
          <t>KSA North</t>
        </is>
      </c>
      <c r="H21" t="inlineStr">
        <is>
          <t>I</t>
        </is>
      </c>
      <c r="I21" s="13" t="n">
        <v>-254.32</v>
      </c>
      <c r="J21" s="13" t="n">
        <v>-15030.71</v>
      </c>
    </row>
    <row r="22">
      <c r="A22" t="inlineStr">
        <is>
          <t>144973</t>
        </is>
      </c>
      <c r="B22" t="inlineStr">
        <is>
          <t>646062</t>
        </is>
      </c>
      <c r="C22" t="inlineStr">
        <is>
          <t>Barrett, Robert W.</t>
        </is>
      </c>
      <c r="D22" t="inlineStr">
        <is>
          <t>PR10</t>
        </is>
      </c>
      <c r="E22" t="inlineStr">
        <is>
          <t>PR</t>
        </is>
      </c>
      <c r="F22" t="inlineStr">
        <is>
          <t>RT10</t>
        </is>
      </c>
      <c r="G22" t="inlineStr">
        <is>
          <t>Mandeville</t>
        </is>
      </c>
      <c r="H22" t="inlineStr">
        <is>
          <t>A</t>
        </is>
      </c>
      <c r="I22" s="13" t="n">
        <v>-244.17</v>
      </c>
      <c r="J22" s="13" t="n">
        <v>-12822.89</v>
      </c>
    </row>
    <row r="23">
      <c r="A23" t="inlineStr">
        <is>
          <t>1376391</t>
        </is>
      </c>
      <c r="B23" t="inlineStr">
        <is>
          <t>1061486</t>
        </is>
      </c>
      <c r="C23" t="inlineStr">
        <is>
          <t>Suckra, Amanda</t>
        </is>
      </c>
      <c r="D23" t="inlineStr">
        <is>
          <t>RT10</t>
        </is>
      </c>
      <c r="E23" t="inlineStr">
        <is>
          <t>RM</t>
        </is>
      </c>
      <c r="F23" t="inlineStr">
        <is>
          <t>RT10</t>
        </is>
      </c>
      <c r="G23" t="inlineStr">
        <is>
          <t>Black River</t>
        </is>
      </c>
      <c r="H23" t="inlineStr">
        <is>
          <t>I</t>
        </is>
      </c>
      <c r="I23" s="13" t="n">
        <v>-139.92</v>
      </c>
      <c r="J23" s="13" t="n">
        <v>-8701.66</v>
      </c>
    </row>
    <row r="24">
      <c r="A24" t="inlineStr">
        <is>
          <t>1597798</t>
        </is>
      </c>
      <c r="B24" t="inlineStr">
        <is>
          <t>1094218</t>
        </is>
      </c>
      <c r="C24" t="inlineStr">
        <is>
          <t>Henry, Kesiana N.</t>
        </is>
      </c>
      <c r="D24" t="inlineStr">
        <is>
          <t>RT10</t>
        </is>
      </c>
      <c r="E24" t="inlineStr">
        <is>
          <t>RM</t>
        </is>
      </c>
      <c r="F24" t="inlineStr">
        <is>
          <t>RT10</t>
        </is>
      </c>
      <c r="G24" t="inlineStr">
        <is>
          <t>Spanish Town</t>
        </is>
      </c>
      <c r="H24" t="inlineStr">
        <is>
          <t>I</t>
        </is>
      </c>
      <c r="I24" s="13" t="n">
        <v>-42.93</v>
      </c>
      <c r="J24" s="13" t="n">
        <v>-2542.42</v>
      </c>
    </row>
    <row r="25">
      <c r="A25" t="inlineStr">
        <is>
          <t>386811</t>
        </is>
      </c>
      <c r="B25" t="inlineStr">
        <is>
          <t>927397</t>
        </is>
      </c>
      <c r="C25" t="inlineStr">
        <is>
          <t>Maragh, Bernard W.</t>
        </is>
      </c>
      <c r="D25" t="inlineStr">
        <is>
          <t>RT10</t>
        </is>
      </c>
      <c r="E25" t="inlineStr">
        <is>
          <t>RM</t>
        </is>
      </c>
      <c r="F25" t="inlineStr">
        <is>
          <t>RT10</t>
        </is>
      </c>
      <c r="G25" t="inlineStr">
        <is>
          <t>St. Ann's Bay</t>
        </is>
      </c>
      <c r="H25" t="inlineStr">
        <is>
          <t>I</t>
        </is>
      </c>
      <c r="I25" s="13" t="n">
        <v>-21.32</v>
      </c>
      <c r="J25" s="13" t="n">
        <v>-2232.66</v>
      </c>
    </row>
    <row r="26">
      <c r="A26" t="inlineStr">
        <is>
          <t>1396671</t>
        </is>
      </c>
      <c r="B26" t="inlineStr">
        <is>
          <t>1242848</t>
        </is>
      </c>
      <c r="C26" t="inlineStr">
        <is>
          <t>Browne, Takiya S.</t>
        </is>
      </c>
      <c r="D26" t="inlineStr">
        <is>
          <t>RT10</t>
        </is>
      </c>
      <c r="E26" t="inlineStr">
        <is>
          <t>RM</t>
        </is>
      </c>
      <c r="F26" t="inlineStr">
        <is>
          <t>RT10</t>
        </is>
      </c>
      <c r="G26" t="inlineStr">
        <is>
          <t>Portmore</t>
        </is>
      </c>
      <c r="H26" t="inlineStr">
        <is>
          <t>I</t>
        </is>
      </c>
      <c r="I26" s="13" t="n">
        <v>-18.29</v>
      </c>
      <c r="J26" s="13" t="n">
        <v>-1445.28</v>
      </c>
    </row>
    <row r="27">
      <c r="A27" t="inlineStr">
        <is>
          <t>1521723</t>
        </is>
      </c>
      <c r="B27" t="inlineStr">
        <is>
          <t>1005727</t>
        </is>
      </c>
      <c r="C27" t="inlineStr">
        <is>
          <t>Barrett, Artheno M.</t>
        </is>
      </c>
      <c r="D27" t="inlineStr">
        <is>
          <t>RT10</t>
        </is>
      </c>
      <c r="E27" t="inlineStr">
        <is>
          <t>RM</t>
        </is>
      </c>
      <c r="F27" t="inlineStr">
        <is>
          <t>RT10</t>
        </is>
      </c>
      <c r="G27" t="inlineStr">
        <is>
          <t>Spanish Town</t>
        </is>
      </c>
      <c r="H27" t="inlineStr">
        <is>
          <t>I</t>
        </is>
      </c>
      <c r="I27" s="13" t="n">
        <v>-12.03</v>
      </c>
      <c r="J27" s="13" t="n">
        <v>-2376.88</v>
      </c>
    </row>
    <row r="28">
      <c r="A28" t="inlineStr">
        <is>
          <t>1544024</t>
        </is>
      </c>
      <c r="B28" t="inlineStr">
        <is>
          <t>1229114</t>
        </is>
      </c>
      <c r="C28" t="inlineStr">
        <is>
          <t>Brown, Savannah-Lee` S.</t>
        </is>
      </c>
      <c r="D28" t="inlineStr">
        <is>
          <t>RT10</t>
        </is>
      </c>
      <c r="E28" t="inlineStr">
        <is>
          <t>RM</t>
        </is>
      </c>
      <c r="F28" t="inlineStr">
        <is>
          <t>RT10</t>
        </is>
      </c>
      <c r="G28" t="inlineStr">
        <is>
          <t>Portmore</t>
        </is>
      </c>
      <c r="H28" t="inlineStr">
        <is>
          <t>I</t>
        </is>
      </c>
      <c r="I28" s="13" t="n">
        <v>-5.55</v>
      </c>
      <c r="J28" s="13" t="n">
        <v>-875.77</v>
      </c>
    </row>
    <row r="29">
      <c r="A29" t="inlineStr">
        <is>
          <t>1560594</t>
        </is>
      </c>
      <c r="B29" t="inlineStr">
        <is>
          <t>1157814</t>
        </is>
      </c>
      <c r="C29" t="inlineStr">
        <is>
          <t>Brown Johnson , Natalee N.</t>
        </is>
      </c>
      <c r="D29" t="inlineStr">
        <is>
          <t>RT10</t>
        </is>
      </c>
      <c r="E29" t="inlineStr">
        <is>
          <t>RM</t>
        </is>
      </c>
      <c r="F29" t="inlineStr">
        <is>
          <t>RT10</t>
        </is>
      </c>
      <c r="G29" t="inlineStr">
        <is>
          <t>KSA South</t>
        </is>
      </c>
      <c r="H29" t="inlineStr">
        <is>
          <t>I</t>
        </is>
      </c>
      <c r="I29" s="13" t="n">
        <v>-0.01</v>
      </c>
      <c r="J29" s="13" t="n">
        <v>111.52</v>
      </c>
    </row>
    <row r="30">
      <c r="A30" t="inlineStr">
        <is>
          <t>1531289</t>
        </is>
      </c>
      <c r="B30" t="inlineStr">
        <is>
          <t>1215050</t>
        </is>
      </c>
      <c r="C30" t="inlineStr">
        <is>
          <t>Howell, Ninette</t>
        </is>
      </c>
      <c r="D30" t="inlineStr">
        <is>
          <t>PR10</t>
        </is>
      </c>
      <c r="E30" t="inlineStr">
        <is>
          <t>PR</t>
        </is>
      </c>
      <c r="F30" t="inlineStr">
        <is>
          <t>RT10</t>
        </is>
      </c>
      <c r="G30" t="inlineStr">
        <is>
          <t>Black River</t>
        </is>
      </c>
      <c r="H30" t="inlineStr">
        <is>
          <t>A</t>
        </is>
      </c>
      <c r="I30" s="13" t="n">
        <v>0.12</v>
      </c>
      <c r="J30" s="13" t="n">
        <v>0</v>
      </c>
    </row>
    <row r="31">
      <c r="A31" t="inlineStr">
        <is>
          <t>1600141</t>
        </is>
      </c>
      <c r="B31" t="inlineStr">
        <is>
          <t>1205277</t>
        </is>
      </c>
      <c r="C31" t="inlineStr">
        <is>
          <t>Belcher, Joyet M.</t>
        </is>
      </c>
      <c r="D31" t="inlineStr">
        <is>
          <t>PR10</t>
        </is>
      </c>
      <c r="E31" t="inlineStr">
        <is>
          <t>PR</t>
        </is>
      </c>
      <c r="F31" t="inlineStr">
        <is>
          <t>RT10</t>
        </is>
      </c>
      <c r="G31" t="inlineStr">
        <is>
          <t>St. Ann's Bay</t>
        </is>
      </c>
      <c r="H31" t="inlineStr">
        <is>
          <t>A</t>
        </is>
      </c>
      <c r="I31" s="13" t="n">
        <v>2.52</v>
      </c>
      <c r="J31" s="13" t="n">
        <v>0</v>
      </c>
    </row>
    <row r="32">
      <c r="A32" t="inlineStr">
        <is>
          <t>100106</t>
        </is>
      </c>
      <c r="B32" t="inlineStr">
        <is>
          <t>1090429</t>
        </is>
      </c>
      <c r="C32" t="inlineStr">
        <is>
          <t>Jamaica Public Service Co.Ltd</t>
        </is>
      </c>
      <c r="D32" t="inlineStr">
        <is>
          <t>RT20</t>
        </is>
      </c>
      <c r="E32" t="inlineStr">
        <is>
          <t>CM</t>
        </is>
      </c>
      <c r="F32" t="inlineStr">
        <is>
          <t>RT20</t>
        </is>
      </c>
      <c r="G32" t="inlineStr">
        <is>
          <t>KSA North</t>
        </is>
      </c>
      <c r="H32" t="inlineStr">
        <is>
          <t>A</t>
        </is>
      </c>
      <c r="I32" s="13" t="n">
        <v>-20165.1</v>
      </c>
      <c r="J32" s="13" t="n">
        <v>-1139375.02</v>
      </c>
    </row>
    <row r="33">
      <c r="A33" t="inlineStr">
        <is>
          <t>963236</t>
        </is>
      </c>
      <c r="B33" t="inlineStr">
        <is>
          <t>1259357</t>
        </is>
      </c>
      <c r="C33" t="inlineStr">
        <is>
          <t>DHL (Jamaica) Limited</t>
        </is>
      </c>
      <c r="D33" t="inlineStr">
        <is>
          <t>RT20</t>
        </is>
      </c>
      <c r="E33" t="inlineStr">
        <is>
          <t>CM</t>
        </is>
      </c>
      <c r="F33" t="inlineStr">
        <is>
          <t>RT20</t>
        </is>
      </c>
      <c r="G33" t="inlineStr">
        <is>
          <t>KSA North</t>
        </is>
      </c>
      <c r="H33" t="inlineStr">
        <is>
          <t>I</t>
        </is>
      </c>
      <c r="I33" s="13" t="n">
        <v>-6594.11</v>
      </c>
      <c r="J33" s="13" t="n">
        <v>-365396.28</v>
      </c>
    </row>
    <row r="34">
      <c r="A34" t="inlineStr">
        <is>
          <t>100106</t>
        </is>
      </c>
      <c r="B34" t="inlineStr">
        <is>
          <t>1090438</t>
        </is>
      </c>
      <c r="C34" t="inlineStr">
        <is>
          <t>Jamaica Public Service Co.Ltd</t>
        </is>
      </c>
      <c r="D34" t="inlineStr">
        <is>
          <t>RT20</t>
        </is>
      </c>
      <c r="E34" t="inlineStr">
        <is>
          <t>CM</t>
        </is>
      </c>
      <c r="F34" t="inlineStr">
        <is>
          <t>RT20</t>
        </is>
      </c>
      <c r="G34" t="inlineStr">
        <is>
          <t>KSA South</t>
        </is>
      </c>
      <c r="H34" t="inlineStr">
        <is>
          <t>A</t>
        </is>
      </c>
      <c r="I34" s="13" t="n">
        <v>-2654.95</v>
      </c>
      <c r="J34" s="13" t="n">
        <v>-187394.17</v>
      </c>
    </row>
    <row r="35">
      <c r="A35" t="inlineStr">
        <is>
          <t>1456478</t>
        </is>
      </c>
      <c r="B35" t="inlineStr">
        <is>
          <t>993861</t>
        </is>
      </c>
      <c r="C35" t="inlineStr">
        <is>
          <t>Bennett, Annette C.</t>
        </is>
      </c>
      <c r="D35" t="inlineStr">
        <is>
          <t>RT20</t>
        </is>
      </c>
      <c r="E35" t="inlineStr">
        <is>
          <t>CM</t>
        </is>
      </c>
      <c r="F35" t="inlineStr">
        <is>
          <t>RT20</t>
        </is>
      </c>
      <c r="G35" t="inlineStr">
        <is>
          <t>Spanish Town</t>
        </is>
      </c>
      <c r="H35" t="inlineStr">
        <is>
          <t>I</t>
        </is>
      </c>
      <c r="I35" s="13" t="n">
        <v>-2634.01</v>
      </c>
      <c r="J35" s="13" t="n">
        <v>-143778.27</v>
      </c>
    </row>
    <row r="36">
      <c r="A36" t="inlineStr">
        <is>
          <t>1490163</t>
        </is>
      </c>
      <c r="B36" t="inlineStr">
        <is>
          <t>551050</t>
        </is>
      </c>
      <c r="C36" t="inlineStr">
        <is>
          <t>Yongsheng, Ou</t>
        </is>
      </c>
      <c r="D36" t="inlineStr">
        <is>
          <t>RT20</t>
        </is>
      </c>
      <c r="E36" t="inlineStr">
        <is>
          <t>CM</t>
        </is>
      </c>
      <c r="F36" t="inlineStr">
        <is>
          <t>RT20</t>
        </is>
      </c>
      <c r="G36" t="inlineStr">
        <is>
          <t>KSA North</t>
        </is>
      </c>
      <c r="H36" t="inlineStr">
        <is>
          <t>I</t>
        </is>
      </c>
      <c r="I36" s="13" t="n">
        <v>-1212.9</v>
      </c>
      <c r="J36" s="13" t="n">
        <v>-70010.72</v>
      </c>
    </row>
    <row r="37">
      <c r="A37" t="inlineStr">
        <is>
          <t>100106</t>
        </is>
      </c>
      <c r="B37" t="inlineStr">
        <is>
          <t>1090437</t>
        </is>
      </c>
      <c r="C37" t="inlineStr">
        <is>
          <t>Jamaica Public Service Co.Ltd</t>
        </is>
      </c>
      <c r="D37" t="inlineStr">
        <is>
          <t>RT20</t>
        </is>
      </c>
      <c r="E37" t="inlineStr">
        <is>
          <t>CM</t>
        </is>
      </c>
      <c r="F37" t="inlineStr">
        <is>
          <t>RT20</t>
        </is>
      </c>
      <c r="G37" t="inlineStr">
        <is>
          <t>KSA South</t>
        </is>
      </c>
      <c r="H37" t="inlineStr">
        <is>
          <t>A</t>
        </is>
      </c>
      <c r="I37" s="13" t="n">
        <v>-857.51</v>
      </c>
      <c r="J37" s="13" t="n">
        <v>-59503.4</v>
      </c>
    </row>
    <row r="38">
      <c r="A38" t="inlineStr">
        <is>
          <t>100106</t>
        </is>
      </c>
      <c r="B38" t="inlineStr">
        <is>
          <t>1090441</t>
        </is>
      </c>
      <c r="C38" t="inlineStr">
        <is>
          <t>Jamaica Public Service Co.Ltd</t>
        </is>
      </c>
      <c r="D38" t="inlineStr">
        <is>
          <t>RT20</t>
        </is>
      </c>
      <c r="E38" t="inlineStr">
        <is>
          <t>CM</t>
        </is>
      </c>
      <c r="F38" t="inlineStr">
        <is>
          <t>RT20</t>
        </is>
      </c>
      <c r="G38" t="inlineStr">
        <is>
          <t>KSA South</t>
        </is>
      </c>
      <c r="H38" t="inlineStr">
        <is>
          <t>A</t>
        </is>
      </c>
      <c r="I38" s="13" t="n">
        <v>-629.42</v>
      </c>
      <c r="J38" s="13" t="n">
        <v>-46805.78</v>
      </c>
    </row>
    <row r="39">
      <c r="A39" t="inlineStr">
        <is>
          <t>370931</t>
        </is>
      </c>
      <c r="B39" t="inlineStr">
        <is>
          <t>101022</t>
        </is>
      </c>
      <c r="C39" t="inlineStr">
        <is>
          <t>McGowan, Alvin S.</t>
        </is>
      </c>
      <c r="D39" t="inlineStr">
        <is>
          <t>RT20</t>
        </is>
      </c>
      <c r="E39" t="inlineStr">
        <is>
          <t>CM</t>
        </is>
      </c>
      <c r="F39" t="inlineStr">
        <is>
          <t>RT20</t>
        </is>
      </c>
      <c r="G39" t="inlineStr">
        <is>
          <t>KSA South</t>
        </is>
      </c>
      <c r="H39" t="inlineStr">
        <is>
          <t>I</t>
        </is>
      </c>
      <c r="I39" s="13" t="n">
        <v>-439.73</v>
      </c>
      <c r="J39" s="13" t="n">
        <v>-22795.62</v>
      </c>
    </row>
    <row r="40">
      <c r="A40" t="inlineStr">
        <is>
          <t>1568956</t>
        </is>
      </c>
      <c r="B40" t="inlineStr">
        <is>
          <t>381859</t>
        </is>
      </c>
      <c r="C40" t="inlineStr">
        <is>
          <t>Air Quality Measurement Systems Limited</t>
        </is>
      </c>
      <c r="D40" t="inlineStr">
        <is>
          <t>RT20</t>
        </is>
      </c>
      <c r="E40" t="inlineStr">
        <is>
          <t>CM</t>
        </is>
      </c>
      <c r="F40" t="inlineStr">
        <is>
          <t>RT20</t>
        </is>
      </c>
      <c r="G40" t="inlineStr">
        <is>
          <t>KSA North</t>
        </is>
      </c>
      <c r="H40" t="inlineStr">
        <is>
          <t>I</t>
        </is>
      </c>
      <c r="I40" s="13" t="n">
        <v>-227.5</v>
      </c>
      <c r="J40" s="13" t="n">
        <v>-13717.69</v>
      </c>
    </row>
    <row r="41">
      <c r="A41" t="inlineStr">
        <is>
          <t>635529</t>
        </is>
      </c>
      <c r="B41" t="inlineStr">
        <is>
          <t>373302</t>
        </is>
      </c>
      <c r="C41" t="inlineStr">
        <is>
          <t>Stewart Lofters &amp; Associates Limited</t>
        </is>
      </c>
      <c r="D41" t="inlineStr">
        <is>
          <t>RT20</t>
        </is>
      </c>
      <c r="E41" t="inlineStr">
        <is>
          <t>CM</t>
        </is>
      </c>
      <c r="F41" t="inlineStr">
        <is>
          <t>RT20</t>
        </is>
      </c>
      <c r="G41" t="inlineStr">
        <is>
          <t>KSA South</t>
        </is>
      </c>
      <c r="H41" t="inlineStr">
        <is>
          <t>I</t>
        </is>
      </c>
      <c r="I41" s="13" t="n">
        <v>-191.22</v>
      </c>
      <c r="J41" s="13" t="n">
        <v>-11277.95</v>
      </c>
    </row>
    <row r="42">
      <c r="A42" t="inlineStr">
        <is>
          <t>611920</t>
        </is>
      </c>
      <c r="B42" t="inlineStr">
        <is>
          <t>662388</t>
        </is>
      </c>
      <c r="C42" t="inlineStr">
        <is>
          <t>Inntech Communications Limited</t>
        </is>
      </c>
      <c r="D42" t="inlineStr">
        <is>
          <t>CABL</t>
        </is>
      </c>
      <c r="E42" t="inlineStr">
        <is>
          <t>CM</t>
        </is>
      </c>
      <c r="F42" t="inlineStr">
        <is>
          <t>RT20</t>
        </is>
      </c>
      <c r="G42" t="inlineStr">
        <is>
          <t>Port Antonio</t>
        </is>
      </c>
      <c r="H42" t="inlineStr">
        <is>
          <t>A</t>
        </is>
      </c>
      <c r="I42" s="13" t="n">
        <v>150</v>
      </c>
      <c r="J42" s="13" t="n">
        <v>0</v>
      </c>
    </row>
    <row r="43">
      <c r="A43" t="inlineStr">
        <is>
          <t>643224</t>
        </is>
      </c>
      <c r="B43" t="inlineStr">
        <is>
          <t>664311</t>
        </is>
      </c>
      <c r="C43" t="inlineStr">
        <is>
          <t>D &amp; L Cable &amp; Satt Ltd</t>
        </is>
      </c>
      <c r="D43" t="inlineStr">
        <is>
          <t>CABL</t>
        </is>
      </c>
      <c r="E43" t="inlineStr">
        <is>
          <t>CM</t>
        </is>
      </c>
      <c r="F43" t="inlineStr">
        <is>
          <t>RT20</t>
        </is>
      </c>
      <c r="G43" t="inlineStr">
        <is>
          <t>KSA South</t>
        </is>
      </c>
      <c r="H43" t="inlineStr">
        <is>
          <t>A</t>
        </is>
      </c>
      <c r="I43" s="13" t="n">
        <v>150</v>
      </c>
      <c r="J43" s="13" t="n">
        <v>0</v>
      </c>
    </row>
    <row r="44">
      <c r="A44" t="inlineStr">
        <is>
          <t>1504156</t>
        </is>
      </c>
      <c r="B44" t="inlineStr">
        <is>
          <t>1187658</t>
        </is>
      </c>
      <c r="C44" t="inlineStr">
        <is>
          <t>Nems Electric and Satellite Limited</t>
        </is>
      </c>
      <c r="D44" t="inlineStr">
        <is>
          <t>CABL</t>
        </is>
      </c>
      <c r="E44" t="inlineStr">
        <is>
          <t>CM</t>
        </is>
      </c>
      <c r="F44" t="inlineStr">
        <is>
          <t>RT20</t>
        </is>
      </c>
      <c r="G44" t="inlineStr">
        <is>
          <t>May Pen</t>
        </is>
      </c>
      <c r="H44" t="inlineStr">
        <is>
          <t>A</t>
        </is>
      </c>
      <c r="I44" s="13" t="n">
        <v>150</v>
      </c>
      <c r="J44" s="13" t="n">
        <v>0</v>
      </c>
    </row>
    <row r="45">
      <c r="A45" t="inlineStr">
        <is>
          <t>789749</t>
        </is>
      </c>
      <c r="B45" t="inlineStr">
        <is>
          <t>697938</t>
        </is>
      </c>
      <c r="C45" t="inlineStr">
        <is>
          <t>Unique Vision Cable Co. Ltd.</t>
        </is>
      </c>
      <c r="D45" t="inlineStr">
        <is>
          <t>CABL</t>
        </is>
      </c>
      <c r="E45" t="inlineStr">
        <is>
          <t>CM</t>
        </is>
      </c>
      <c r="F45" t="inlineStr">
        <is>
          <t>RT20</t>
        </is>
      </c>
      <c r="G45" t="inlineStr">
        <is>
          <t>Montego Bay</t>
        </is>
      </c>
      <c r="H45" t="inlineStr">
        <is>
          <t>A</t>
        </is>
      </c>
      <c r="I45" s="13" t="n">
        <v>150</v>
      </c>
      <c r="J45" s="13" t="n">
        <v>0</v>
      </c>
    </row>
    <row r="46">
      <c r="A46" t="inlineStr">
        <is>
          <t>880268</t>
        </is>
      </c>
      <c r="B46" t="inlineStr">
        <is>
          <t>771521</t>
        </is>
      </c>
      <c r="C46" t="inlineStr">
        <is>
          <t>Modern Rebroadcasting Co. Ltd.</t>
        </is>
      </c>
      <c r="D46" t="inlineStr">
        <is>
          <t>CABM</t>
        </is>
      </c>
      <c r="E46" t="inlineStr">
        <is>
          <t>CM</t>
        </is>
      </c>
      <c r="F46" t="inlineStr">
        <is>
          <t>RT20</t>
        </is>
      </c>
      <c r="G46" t="inlineStr">
        <is>
          <t>Falmouth</t>
        </is>
      </c>
      <c r="H46" t="inlineStr">
        <is>
          <t>A</t>
        </is>
      </c>
      <c r="I46" s="13" t="n">
        <v>230</v>
      </c>
      <c r="J46" s="13" t="n">
        <v>0</v>
      </c>
    </row>
    <row r="47">
      <c r="A47" t="inlineStr">
        <is>
          <t>676497</t>
        </is>
      </c>
      <c r="B47" t="inlineStr">
        <is>
          <t>684766</t>
        </is>
      </c>
      <c r="C47" t="inlineStr">
        <is>
          <t>Cable One Jamaica Ltd.</t>
        </is>
      </c>
      <c r="D47" t="inlineStr">
        <is>
          <t>CABM</t>
        </is>
      </c>
      <c r="E47" t="inlineStr">
        <is>
          <t>CM</t>
        </is>
      </c>
      <c r="F47" t="inlineStr">
        <is>
          <t>RT20</t>
        </is>
      </c>
      <c r="G47" t="inlineStr">
        <is>
          <t>Port Maria</t>
        </is>
      </c>
      <c r="H47" t="inlineStr">
        <is>
          <t>A</t>
        </is>
      </c>
      <c r="I47" s="13" t="n">
        <v>230</v>
      </c>
      <c r="J47" s="13" t="n">
        <v>0</v>
      </c>
    </row>
    <row r="48">
      <c r="A48" t="inlineStr">
        <is>
          <t>1529354</t>
        </is>
      </c>
      <c r="B48" t="inlineStr">
        <is>
          <t>1213029</t>
        </is>
      </c>
      <c r="C48" t="inlineStr">
        <is>
          <t>NextGen Solutions Limited</t>
        </is>
      </c>
      <c r="D48" t="inlineStr">
        <is>
          <t>CABH</t>
        </is>
      </c>
      <c r="E48" t="inlineStr">
        <is>
          <t>CM</t>
        </is>
      </c>
      <c r="F48" t="inlineStr">
        <is>
          <t>RT20</t>
        </is>
      </c>
      <c r="G48" t="inlineStr">
        <is>
          <t>Falmouth</t>
        </is>
      </c>
      <c r="H48" t="inlineStr">
        <is>
          <t>A</t>
        </is>
      </c>
      <c r="I48" s="13" t="n">
        <v>623</v>
      </c>
      <c r="J48" s="13" t="n">
        <v>0</v>
      </c>
    </row>
    <row r="49">
      <c r="A49" t="inlineStr">
        <is>
          <t>913857</t>
        </is>
      </c>
      <c r="B49" t="inlineStr">
        <is>
          <t>662399</t>
        </is>
      </c>
      <c r="C49" t="inlineStr">
        <is>
          <t>Columbus Communications Ja Ltd (FLOW)</t>
        </is>
      </c>
      <c r="D49" t="inlineStr">
        <is>
          <t>CABH</t>
        </is>
      </c>
      <c r="E49" t="inlineStr">
        <is>
          <t>CM</t>
        </is>
      </c>
      <c r="F49" t="inlineStr">
        <is>
          <t>RT20</t>
        </is>
      </c>
      <c r="G49" t="inlineStr">
        <is>
          <t>KSA North</t>
        </is>
      </c>
      <c r="H49" t="inlineStr">
        <is>
          <t>A</t>
        </is>
      </c>
      <c r="I49" s="13" t="n">
        <v>623</v>
      </c>
      <c r="J49" s="13" t="n">
        <v>0</v>
      </c>
    </row>
    <row r="50">
      <c r="A50" t="inlineStr">
        <is>
          <t>714603</t>
        </is>
      </c>
      <c r="B50" t="inlineStr">
        <is>
          <t>1178507</t>
        </is>
      </c>
      <c r="C50" t="inlineStr">
        <is>
          <t>Fraser, Marvalee C.</t>
        </is>
      </c>
      <c r="D50" t="inlineStr">
        <is>
          <t>RT20</t>
        </is>
      </c>
      <c r="E50" t="inlineStr">
        <is>
          <t>CM</t>
        </is>
      </c>
      <c r="F50" t="inlineStr">
        <is>
          <t>RT20</t>
        </is>
      </c>
      <c r="G50" t="inlineStr">
        <is>
          <t>Spanish Town</t>
        </is>
      </c>
      <c r="H50" t="inlineStr">
        <is>
          <t>I</t>
        </is>
      </c>
      <c r="I50" s="13" t="n">
        <v>2780.4</v>
      </c>
      <c r="J50" s="13" t="n">
        <v>152685.63</v>
      </c>
    </row>
    <row r="51">
      <c r="A51" t="inlineStr">
        <is>
          <t>101178</t>
        </is>
      </c>
      <c r="B51" t="inlineStr">
        <is>
          <t>102195</t>
        </is>
      </c>
      <c r="C51" t="inlineStr">
        <is>
          <t>St. Elizabeth Parish Council</t>
        </is>
      </c>
      <c r="D51" t="inlineStr">
        <is>
          <t>L43</t>
        </is>
      </c>
      <c r="E51" t="inlineStr">
        <is>
          <t>ST</t>
        </is>
      </c>
      <c r="F51" t="inlineStr">
        <is>
          <t>RT60-ST</t>
        </is>
      </c>
      <c r="G51" t="inlineStr">
        <is>
          <t>Black River</t>
        </is>
      </c>
      <c r="H51" t="inlineStr">
        <is>
          <t>A</t>
        </is>
      </c>
      <c r="I51" s="13" t="n">
        <v>16</v>
      </c>
      <c r="J51" s="13" t="n">
        <v>0</v>
      </c>
    </row>
    <row r="52">
      <c r="A52" t="inlineStr">
        <is>
          <t>101133</t>
        </is>
      </c>
      <c r="B52" t="inlineStr">
        <is>
          <t>102174</t>
        </is>
      </c>
      <c r="C52" t="inlineStr">
        <is>
          <t>St Catherine Parish Council</t>
        </is>
      </c>
      <c r="D52" t="inlineStr">
        <is>
          <t>L43</t>
        </is>
      </c>
      <c r="E52" t="inlineStr">
        <is>
          <t>ST</t>
        </is>
      </c>
      <c r="F52" t="inlineStr">
        <is>
          <t>RT60-ST</t>
        </is>
      </c>
      <c r="G52" t="inlineStr">
        <is>
          <t>Spanish Town</t>
        </is>
      </c>
      <c r="H52" t="inlineStr">
        <is>
          <t>A</t>
        </is>
      </c>
      <c r="I52" s="13" t="n">
        <v>16</v>
      </c>
      <c r="J52" s="13" t="n">
        <v>0</v>
      </c>
    </row>
    <row r="53">
      <c r="A53" t="inlineStr">
        <is>
          <t>101173</t>
        </is>
      </c>
      <c r="B53" t="inlineStr">
        <is>
          <t>102179</t>
        </is>
      </c>
      <c r="C53" t="inlineStr">
        <is>
          <t>Trelawny Parish Council</t>
        </is>
      </c>
      <c r="D53" t="inlineStr">
        <is>
          <t>L60</t>
        </is>
      </c>
      <c r="E53" t="inlineStr">
        <is>
          <t>ST</t>
        </is>
      </c>
      <c r="F53" t="inlineStr">
        <is>
          <t>RT60-ST</t>
        </is>
      </c>
      <c r="G53" t="inlineStr">
        <is>
          <t>Falmouth</t>
        </is>
      </c>
      <c r="H53" t="inlineStr">
        <is>
          <t>A</t>
        </is>
      </c>
      <c r="I53" s="13" t="n">
        <v>22</v>
      </c>
      <c r="J53" s="13" t="n">
        <v>0</v>
      </c>
    </row>
    <row r="54">
      <c r="A54" t="inlineStr">
        <is>
          <t>101170</t>
        </is>
      </c>
      <c r="B54" t="inlineStr">
        <is>
          <t>102176</t>
        </is>
      </c>
      <c r="C54" t="inlineStr">
        <is>
          <t>St. Thomas Parish Coun.</t>
        </is>
      </c>
      <c r="D54" t="inlineStr">
        <is>
          <t>L60</t>
        </is>
      </c>
      <c r="E54" t="inlineStr">
        <is>
          <t>ST</t>
        </is>
      </c>
      <c r="F54" t="inlineStr">
        <is>
          <t>RT60-ST</t>
        </is>
      </c>
      <c r="G54" t="inlineStr">
        <is>
          <t>Morant Bay</t>
        </is>
      </c>
      <c r="H54" t="inlineStr">
        <is>
          <t>A</t>
        </is>
      </c>
      <c r="I54" s="13" t="n">
        <v>22</v>
      </c>
      <c r="J54" s="13" t="n">
        <v>0</v>
      </c>
    </row>
    <row r="55">
      <c r="A55" t="inlineStr">
        <is>
          <t>101172</t>
        </is>
      </c>
      <c r="B55" t="inlineStr">
        <is>
          <t>102178</t>
        </is>
      </c>
      <c r="C55" t="inlineStr">
        <is>
          <t>St James Parish Council</t>
        </is>
      </c>
      <c r="D55" t="inlineStr">
        <is>
          <t>L60</t>
        </is>
      </c>
      <c r="E55" t="inlineStr">
        <is>
          <t>ST</t>
        </is>
      </c>
      <c r="F55" t="inlineStr">
        <is>
          <t>RT60-ST</t>
        </is>
      </c>
      <c r="G55" t="inlineStr">
        <is>
          <t>Montego Bay</t>
        </is>
      </c>
      <c r="H55" t="inlineStr">
        <is>
          <t>A</t>
        </is>
      </c>
      <c r="I55" s="13" t="n">
        <v>22</v>
      </c>
      <c r="J55" s="13" t="n">
        <v>0</v>
      </c>
    </row>
    <row r="56">
      <c r="A56" t="inlineStr">
        <is>
          <t>101175</t>
        </is>
      </c>
      <c r="B56" t="inlineStr">
        <is>
          <t>102181</t>
        </is>
      </c>
      <c r="C56" t="inlineStr">
        <is>
          <t>St. Mary Parish Council</t>
        </is>
      </c>
      <c r="D56" t="inlineStr">
        <is>
          <t>L60</t>
        </is>
      </c>
      <c r="E56" t="inlineStr">
        <is>
          <t>ST</t>
        </is>
      </c>
      <c r="F56" t="inlineStr">
        <is>
          <t>RT60-ST</t>
        </is>
      </c>
      <c r="G56" t="inlineStr">
        <is>
          <t>Port Maria</t>
        </is>
      </c>
      <c r="H56" t="inlineStr">
        <is>
          <t>A</t>
        </is>
      </c>
      <c r="I56" s="13" t="n">
        <v>22</v>
      </c>
      <c r="J56" s="13" t="n">
        <v>0</v>
      </c>
    </row>
    <row r="57">
      <c r="A57" t="inlineStr">
        <is>
          <t>100601</t>
        </is>
      </c>
      <c r="B57" t="inlineStr">
        <is>
          <t>102171</t>
        </is>
      </c>
      <c r="C57" t="inlineStr">
        <is>
          <t>Kgn &amp; St Andrew Corp</t>
        </is>
      </c>
      <c r="D57" t="inlineStr">
        <is>
          <t>L60</t>
        </is>
      </c>
      <c r="E57" t="inlineStr">
        <is>
          <t>ST</t>
        </is>
      </c>
      <c r="F57" t="inlineStr">
        <is>
          <t>RT60-ST</t>
        </is>
      </c>
      <c r="G57" t="inlineStr">
        <is>
          <t>KSA South</t>
        </is>
      </c>
      <c r="H57" t="inlineStr">
        <is>
          <t>A</t>
        </is>
      </c>
      <c r="I57" s="13" t="n">
        <v>22</v>
      </c>
      <c r="J57" s="13" t="n">
        <v>0</v>
      </c>
    </row>
    <row r="58">
      <c r="A58" t="inlineStr">
        <is>
          <t>108862</t>
        </is>
      </c>
      <c r="B58" t="inlineStr">
        <is>
          <t>102184</t>
        </is>
      </c>
      <c r="C58" t="inlineStr">
        <is>
          <t>Manchester Parish Councl</t>
        </is>
      </c>
      <c r="D58" t="inlineStr">
        <is>
          <t>L60</t>
        </is>
      </c>
      <c r="E58" t="inlineStr">
        <is>
          <t>ST</t>
        </is>
      </c>
      <c r="F58" t="inlineStr">
        <is>
          <t>RT60-ST</t>
        </is>
      </c>
      <c r="G58" t="inlineStr">
        <is>
          <t>Mandeville</t>
        </is>
      </c>
      <c r="H58" t="inlineStr">
        <is>
          <t>A</t>
        </is>
      </c>
      <c r="I58" s="13" t="n">
        <v>22</v>
      </c>
      <c r="J58" s="13" t="n">
        <v>0</v>
      </c>
    </row>
    <row r="59">
      <c r="A59" t="inlineStr">
        <is>
          <t>101180</t>
        </is>
      </c>
      <c r="B59" t="inlineStr">
        <is>
          <t>102201</t>
        </is>
      </c>
      <c r="C59" t="inlineStr">
        <is>
          <t>Hanover Parish Council</t>
        </is>
      </c>
      <c r="D59" t="inlineStr">
        <is>
          <t>L60</t>
        </is>
      </c>
      <c r="E59" t="inlineStr">
        <is>
          <t>ST</t>
        </is>
      </c>
      <c r="F59" t="inlineStr">
        <is>
          <t>RT60-ST</t>
        </is>
      </c>
      <c r="G59" t="inlineStr">
        <is>
          <t>Lucea</t>
        </is>
      </c>
      <c r="H59" t="inlineStr">
        <is>
          <t>A</t>
        </is>
      </c>
      <c r="I59" s="13" t="n">
        <v>22</v>
      </c>
      <c r="J59" s="13" t="n">
        <v>0</v>
      </c>
    </row>
    <row r="60">
      <c r="A60" t="inlineStr">
        <is>
          <t>101176</t>
        </is>
      </c>
      <c r="B60" t="inlineStr">
        <is>
          <t>102182</t>
        </is>
      </c>
      <c r="C60" t="inlineStr">
        <is>
          <t>St. Ann Parish Council</t>
        </is>
      </c>
      <c r="D60" t="inlineStr">
        <is>
          <t>L60</t>
        </is>
      </c>
      <c r="E60" t="inlineStr">
        <is>
          <t>ST</t>
        </is>
      </c>
      <c r="F60" t="inlineStr">
        <is>
          <t>RT60-ST</t>
        </is>
      </c>
      <c r="G60" t="inlineStr">
        <is>
          <t>St. Ann's Bay</t>
        </is>
      </c>
      <c r="H60" t="inlineStr">
        <is>
          <t>A</t>
        </is>
      </c>
      <c r="I60" s="13" t="n">
        <v>22</v>
      </c>
      <c r="J60" s="13" t="n">
        <v>0</v>
      </c>
    </row>
    <row r="61">
      <c r="A61" t="inlineStr">
        <is>
          <t>101062</t>
        </is>
      </c>
      <c r="B61" t="inlineStr">
        <is>
          <t>102200</t>
        </is>
      </c>
      <c r="C61" t="inlineStr">
        <is>
          <t>Westmoreland Parish Cncl</t>
        </is>
      </c>
      <c r="D61" t="inlineStr">
        <is>
          <t>L60</t>
        </is>
      </c>
      <c r="E61" t="inlineStr">
        <is>
          <t>ST</t>
        </is>
      </c>
      <c r="F61" t="inlineStr">
        <is>
          <t>RT60-ST</t>
        </is>
      </c>
      <c r="G61" t="inlineStr">
        <is>
          <t>Sav-la-Mar</t>
        </is>
      </c>
      <c r="H61" t="inlineStr">
        <is>
          <t>A</t>
        </is>
      </c>
      <c r="I61" s="13" t="n">
        <v>22</v>
      </c>
      <c r="J61" s="13" t="n">
        <v>0</v>
      </c>
    </row>
    <row r="62">
      <c r="A62" t="inlineStr">
        <is>
          <t>101171</t>
        </is>
      </c>
      <c r="B62" t="inlineStr">
        <is>
          <t>102177</t>
        </is>
      </c>
      <c r="C62" t="inlineStr">
        <is>
          <t>Portland Municipal Corporation</t>
        </is>
      </c>
      <c r="D62" t="inlineStr">
        <is>
          <t>L60</t>
        </is>
      </c>
      <c r="E62" t="inlineStr">
        <is>
          <t>ST</t>
        </is>
      </c>
      <c r="F62" t="inlineStr">
        <is>
          <t>RT60-ST</t>
        </is>
      </c>
      <c r="G62" t="inlineStr">
        <is>
          <t>Port Antonio</t>
        </is>
      </c>
      <c r="H62" t="inlineStr">
        <is>
          <t>A</t>
        </is>
      </c>
      <c r="I62" s="13" t="n">
        <v>22</v>
      </c>
      <c r="J62" s="13" t="n">
        <v>0</v>
      </c>
    </row>
    <row r="63">
      <c r="A63" t="inlineStr">
        <is>
          <t>108862</t>
        </is>
      </c>
      <c r="B63" t="inlineStr">
        <is>
          <t>102184</t>
        </is>
      </c>
      <c r="C63" t="inlineStr">
        <is>
          <t>Manchester Parish Councl</t>
        </is>
      </c>
      <c r="D63" t="inlineStr">
        <is>
          <t>L67</t>
        </is>
      </c>
      <c r="E63" t="inlineStr">
        <is>
          <t>ST</t>
        </is>
      </c>
      <c r="F63" t="inlineStr">
        <is>
          <t>RT60-ST</t>
        </is>
      </c>
      <c r="G63" t="inlineStr">
        <is>
          <t>Mandeville</t>
        </is>
      </c>
      <c r="H63" t="inlineStr">
        <is>
          <t>A</t>
        </is>
      </c>
      <c r="I63" s="13" t="n">
        <v>25</v>
      </c>
      <c r="J63" s="13" t="n">
        <v>0</v>
      </c>
    </row>
    <row r="64">
      <c r="A64" t="inlineStr">
        <is>
          <t>101173</t>
        </is>
      </c>
      <c r="B64" t="inlineStr">
        <is>
          <t>102179</t>
        </is>
      </c>
      <c r="C64" t="inlineStr">
        <is>
          <t>Trelawny Parish Council</t>
        </is>
      </c>
      <c r="D64" t="inlineStr">
        <is>
          <t>L67</t>
        </is>
      </c>
      <c r="E64" t="inlineStr">
        <is>
          <t>ST</t>
        </is>
      </c>
      <c r="F64" t="inlineStr">
        <is>
          <t>RT60-ST</t>
        </is>
      </c>
      <c r="G64" t="inlineStr">
        <is>
          <t>Falmouth</t>
        </is>
      </c>
      <c r="H64" t="inlineStr">
        <is>
          <t>A</t>
        </is>
      </c>
      <c r="I64" s="13" t="n">
        <v>25</v>
      </c>
      <c r="J64" s="13" t="n">
        <v>0</v>
      </c>
    </row>
    <row r="65">
      <c r="A65" t="inlineStr">
        <is>
          <t>101062</t>
        </is>
      </c>
      <c r="B65" t="inlineStr">
        <is>
          <t>102200</t>
        </is>
      </c>
      <c r="C65" t="inlineStr">
        <is>
          <t>Westmoreland Parish Cncl</t>
        </is>
      </c>
      <c r="D65" t="inlineStr">
        <is>
          <t>L67</t>
        </is>
      </c>
      <c r="E65" t="inlineStr">
        <is>
          <t>ST</t>
        </is>
      </c>
      <c r="F65" t="inlineStr">
        <is>
          <t>RT60-ST</t>
        </is>
      </c>
      <c r="G65" t="inlineStr">
        <is>
          <t>Sav-la-Mar</t>
        </is>
      </c>
      <c r="H65" t="inlineStr">
        <is>
          <t>A</t>
        </is>
      </c>
      <c r="I65" s="13" t="n">
        <v>25</v>
      </c>
      <c r="J65" s="13" t="n">
        <v>0</v>
      </c>
    </row>
    <row r="66">
      <c r="A66" t="inlineStr">
        <is>
          <t>101169</t>
        </is>
      </c>
      <c r="B66" t="inlineStr">
        <is>
          <t>102175</t>
        </is>
      </c>
      <c r="C66" t="inlineStr">
        <is>
          <t>Clarendon Par. Council</t>
        </is>
      </c>
      <c r="D66" t="inlineStr">
        <is>
          <t>L75</t>
        </is>
      </c>
      <c r="E66" t="inlineStr">
        <is>
          <t>ST</t>
        </is>
      </c>
      <c r="F66" t="inlineStr">
        <is>
          <t>RT60-ST</t>
        </is>
      </c>
      <c r="G66" t="inlineStr">
        <is>
          <t>May Pen</t>
        </is>
      </c>
      <c r="H66" t="inlineStr">
        <is>
          <t>A</t>
        </is>
      </c>
      <c r="I66" s="13" t="n">
        <v>27</v>
      </c>
      <c r="J66" s="13" t="n">
        <v>0</v>
      </c>
    </row>
    <row r="67">
      <c r="A67" t="inlineStr">
        <is>
          <t>101180</t>
        </is>
      </c>
      <c r="B67" t="inlineStr">
        <is>
          <t>102201</t>
        </is>
      </c>
      <c r="C67" t="inlineStr">
        <is>
          <t>Hanover Parish Council</t>
        </is>
      </c>
      <c r="D67" t="inlineStr">
        <is>
          <t>L75</t>
        </is>
      </c>
      <c r="E67" t="inlineStr">
        <is>
          <t>ST</t>
        </is>
      </c>
      <c r="F67" t="inlineStr">
        <is>
          <t>RT60-ST</t>
        </is>
      </c>
      <c r="G67" t="inlineStr">
        <is>
          <t>Lucea</t>
        </is>
      </c>
      <c r="H67" t="inlineStr">
        <is>
          <t>A</t>
        </is>
      </c>
      <c r="I67" s="13" t="n">
        <v>27</v>
      </c>
      <c r="J67" s="13" t="n">
        <v>0</v>
      </c>
    </row>
    <row r="68">
      <c r="A68" t="inlineStr">
        <is>
          <t>108862</t>
        </is>
      </c>
      <c r="B68" t="inlineStr">
        <is>
          <t>102184</t>
        </is>
      </c>
      <c r="C68" t="inlineStr">
        <is>
          <t>Manchester Parish Councl</t>
        </is>
      </c>
      <c r="D68" t="inlineStr">
        <is>
          <t>L75</t>
        </is>
      </c>
      <c r="E68" t="inlineStr">
        <is>
          <t>ST</t>
        </is>
      </c>
      <c r="F68" t="inlineStr">
        <is>
          <t>RT60-ST</t>
        </is>
      </c>
      <c r="G68" t="inlineStr">
        <is>
          <t>Mandeville</t>
        </is>
      </c>
      <c r="H68" t="inlineStr">
        <is>
          <t>A</t>
        </is>
      </c>
      <c r="I68" s="13" t="n">
        <v>27</v>
      </c>
      <c r="J68" s="13" t="n">
        <v>0</v>
      </c>
    </row>
    <row r="69">
      <c r="A69" t="inlineStr">
        <is>
          <t>108862</t>
        </is>
      </c>
      <c r="B69" t="inlineStr">
        <is>
          <t>102184</t>
        </is>
      </c>
      <c r="C69" t="inlineStr">
        <is>
          <t>Manchester Parish Councl</t>
        </is>
      </c>
      <c r="D69" t="inlineStr">
        <is>
          <t>H070</t>
        </is>
      </c>
      <c r="E69" t="inlineStr">
        <is>
          <t>ST</t>
        </is>
      </c>
      <c r="F69" t="inlineStr">
        <is>
          <t>RT60-ST</t>
        </is>
      </c>
      <c r="G69" t="inlineStr">
        <is>
          <t>Mandeville</t>
        </is>
      </c>
      <c r="H69" t="inlineStr">
        <is>
          <t>A</t>
        </is>
      </c>
      <c r="I69" s="13" t="n">
        <v>37</v>
      </c>
      <c r="J69" s="13" t="n">
        <v>0</v>
      </c>
    </row>
    <row r="70">
      <c r="A70" t="inlineStr">
        <is>
          <t>101180</t>
        </is>
      </c>
      <c r="B70" t="inlineStr">
        <is>
          <t>102201</t>
        </is>
      </c>
      <c r="C70" t="inlineStr">
        <is>
          <t>Hanover Parish Council</t>
        </is>
      </c>
      <c r="D70" t="inlineStr">
        <is>
          <t>H070</t>
        </is>
      </c>
      <c r="E70" t="inlineStr">
        <is>
          <t>ST</t>
        </is>
      </c>
      <c r="F70" t="inlineStr">
        <is>
          <t>RT60-ST</t>
        </is>
      </c>
      <c r="G70" t="inlineStr">
        <is>
          <t>Lucea</t>
        </is>
      </c>
      <c r="H70" t="inlineStr">
        <is>
          <t>A</t>
        </is>
      </c>
      <c r="I70" s="13" t="n">
        <v>37</v>
      </c>
      <c r="J70" s="13" t="n">
        <v>0</v>
      </c>
    </row>
    <row r="71">
      <c r="A71" t="inlineStr">
        <is>
          <t>101133</t>
        </is>
      </c>
      <c r="B71" t="inlineStr">
        <is>
          <t>102174</t>
        </is>
      </c>
      <c r="C71" t="inlineStr">
        <is>
          <t>St Catherine Parish Council</t>
        </is>
      </c>
      <c r="D71" t="inlineStr">
        <is>
          <t>M125</t>
        </is>
      </c>
      <c r="E71" t="inlineStr">
        <is>
          <t>ST</t>
        </is>
      </c>
      <c r="F71" t="inlineStr">
        <is>
          <t>RT60-ST</t>
        </is>
      </c>
      <c r="G71" t="inlineStr">
        <is>
          <t>Spanish Town</t>
        </is>
      </c>
      <c r="H71" t="inlineStr">
        <is>
          <t>A</t>
        </is>
      </c>
      <c r="I71" s="13" t="n">
        <v>46</v>
      </c>
      <c r="J71" s="13" t="n">
        <v>0</v>
      </c>
    </row>
    <row r="72">
      <c r="A72" t="inlineStr">
        <is>
          <t>101133</t>
        </is>
      </c>
      <c r="B72" t="inlineStr">
        <is>
          <t>102174</t>
        </is>
      </c>
      <c r="C72" t="inlineStr">
        <is>
          <t>St Catherine Parish Council</t>
        </is>
      </c>
      <c r="D72" t="inlineStr">
        <is>
          <t>L130</t>
        </is>
      </c>
      <c r="E72" t="inlineStr">
        <is>
          <t>ST</t>
        </is>
      </c>
      <c r="F72" t="inlineStr">
        <is>
          <t>RT60-ST</t>
        </is>
      </c>
      <c r="G72" t="inlineStr">
        <is>
          <t>Spanish Town</t>
        </is>
      </c>
      <c r="H72" t="inlineStr">
        <is>
          <t>A</t>
        </is>
      </c>
      <c r="I72" s="13" t="n">
        <v>49</v>
      </c>
      <c r="J72" s="13" t="n">
        <v>0</v>
      </c>
    </row>
    <row r="73">
      <c r="A73" t="inlineStr">
        <is>
          <t>100601</t>
        </is>
      </c>
      <c r="B73" t="inlineStr">
        <is>
          <t>102171</t>
        </is>
      </c>
      <c r="C73" t="inlineStr">
        <is>
          <t>Kgn &amp; St Andrew Corp</t>
        </is>
      </c>
      <c r="D73" t="inlineStr">
        <is>
          <t>H100</t>
        </is>
      </c>
      <c r="E73" t="inlineStr">
        <is>
          <t>ST</t>
        </is>
      </c>
      <c r="F73" t="inlineStr">
        <is>
          <t>RT60-ST</t>
        </is>
      </c>
      <c r="G73" t="inlineStr">
        <is>
          <t>KSA South</t>
        </is>
      </c>
      <c r="H73" t="inlineStr">
        <is>
          <t>A</t>
        </is>
      </c>
      <c r="I73" s="13" t="n">
        <v>50</v>
      </c>
      <c r="J73" s="13" t="n">
        <v>0</v>
      </c>
    </row>
    <row r="74">
      <c r="A74" t="inlineStr">
        <is>
          <t>101133</t>
        </is>
      </c>
      <c r="B74" t="inlineStr">
        <is>
          <t>102174</t>
        </is>
      </c>
      <c r="C74" t="inlineStr">
        <is>
          <t>St Catherine Parish Council</t>
        </is>
      </c>
      <c r="D74" t="inlineStr">
        <is>
          <t>L140</t>
        </is>
      </c>
      <c r="E74" t="inlineStr">
        <is>
          <t>ST</t>
        </is>
      </c>
      <c r="F74" t="inlineStr">
        <is>
          <t>RT60-ST</t>
        </is>
      </c>
      <c r="G74" t="inlineStr">
        <is>
          <t>Spanish Town</t>
        </is>
      </c>
      <c r="H74" t="inlineStr">
        <is>
          <t>A</t>
        </is>
      </c>
      <c r="I74" s="13" t="n">
        <v>50</v>
      </c>
      <c r="J74" s="13" t="n">
        <v>0</v>
      </c>
    </row>
    <row r="75">
      <c r="A75" t="inlineStr">
        <is>
          <t>101133</t>
        </is>
      </c>
      <c r="B75" t="inlineStr">
        <is>
          <t>102174</t>
        </is>
      </c>
      <c r="C75" t="inlineStr">
        <is>
          <t>St Catherine Parish Council</t>
        </is>
      </c>
      <c r="D75" t="inlineStr">
        <is>
          <t>M160</t>
        </is>
      </c>
      <c r="E75" t="inlineStr">
        <is>
          <t>ST</t>
        </is>
      </c>
      <c r="F75" t="inlineStr">
        <is>
          <t>RT60-ST</t>
        </is>
      </c>
      <c r="G75" t="inlineStr">
        <is>
          <t>Spanish Town</t>
        </is>
      </c>
      <c r="H75" t="inlineStr">
        <is>
          <t>A</t>
        </is>
      </c>
      <c r="I75" s="13" t="n">
        <v>59</v>
      </c>
      <c r="J75" s="13" t="n">
        <v>0</v>
      </c>
    </row>
    <row r="76">
      <c r="A76" t="inlineStr">
        <is>
          <t>108862</t>
        </is>
      </c>
      <c r="B76" t="inlineStr">
        <is>
          <t>102184</t>
        </is>
      </c>
      <c r="C76" t="inlineStr">
        <is>
          <t>Manchester Parish Councl</t>
        </is>
      </c>
      <c r="D76" t="inlineStr">
        <is>
          <t>H150</t>
        </is>
      </c>
      <c r="E76" t="inlineStr">
        <is>
          <t>ST</t>
        </is>
      </c>
      <c r="F76" t="inlineStr">
        <is>
          <t>RT60-ST</t>
        </is>
      </c>
      <c r="G76" t="inlineStr">
        <is>
          <t>Mandeville</t>
        </is>
      </c>
      <c r="H76" t="inlineStr">
        <is>
          <t>A</t>
        </is>
      </c>
      <c r="I76" s="13" t="n">
        <v>73</v>
      </c>
      <c r="J76" s="13" t="n">
        <v>0</v>
      </c>
    </row>
    <row r="77">
      <c r="A77" t="inlineStr">
        <is>
          <t>1165300</t>
        </is>
      </c>
      <c r="B77" t="inlineStr">
        <is>
          <t>612266</t>
        </is>
      </c>
      <c r="C77" t="inlineStr">
        <is>
          <t>Jewel Paradise Cove Beach Resort &amp;Spa</t>
        </is>
      </c>
      <c r="D77" t="inlineStr">
        <is>
          <t>H150</t>
        </is>
      </c>
      <c r="E77" t="inlineStr">
        <is>
          <t>ST</t>
        </is>
      </c>
      <c r="F77" t="inlineStr">
        <is>
          <t>RT60-ST</t>
        </is>
      </c>
      <c r="G77" t="inlineStr">
        <is>
          <t>St. Ann's Bay</t>
        </is>
      </c>
      <c r="H77" t="inlineStr">
        <is>
          <t>A</t>
        </is>
      </c>
      <c r="I77" s="13" t="n">
        <v>73</v>
      </c>
      <c r="J77" s="13" t="n">
        <v>0</v>
      </c>
    </row>
    <row r="78">
      <c r="A78" t="inlineStr">
        <is>
          <t>101133</t>
        </is>
      </c>
      <c r="B78" t="inlineStr">
        <is>
          <t>102174</t>
        </is>
      </c>
      <c r="C78" t="inlineStr">
        <is>
          <t>St Catherine Parish Council</t>
        </is>
      </c>
      <c r="D78" t="inlineStr">
        <is>
          <t>M250</t>
        </is>
      </c>
      <c r="E78" t="inlineStr">
        <is>
          <t>ST</t>
        </is>
      </c>
      <c r="F78" t="inlineStr">
        <is>
          <t>RT60-ST</t>
        </is>
      </c>
      <c r="G78" t="inlineStr">
        <is>
          <t>Spanish Town</t>
        </is>
      </c>
      <c r="H78" t="inlineStr">
        <is>
          <t>A</t>
        </is>
      </c>
      <c r="I78" s="13" t="n">
        <v>93</v>
      </c>
      <c r="J78" s="13" t="n">
        <v>0</v>
      </c>
    </row>
    <row r="79">
      <c r="A79" t="inlineStr">
        <is>
          <t>100601</t>
        </is>
      </c>
      <c r="B79" t="inlineStr">
        <is>
          <t>102171</t>
        </is>
      </c>
      <c r="C79" t="inlineStr">
        <is>
          <t>Kgn &amp; St Andrew Corp</t>
        </is>
      </c>
      <c r="D79" t="inlineStr">
        <is>
          <t>H400</t>
        </is>
      </c>
      <c r="E79" t="inlineStr">
        <is>
          <t>ST</t>
        </is>
      </c>
      <c r="F79" t="inlineStr">
        <is>
          <t>RT60-ST</t>
        </is>
      </c>
      <c r="G79" t="inlineStr">
        <is>
          <t>KSA South</t>
        </is>
      </c>
      <c r="H79" t="inlineStr">
        <is>
          <t>A</t>
        </is>
      </c>
      <c r="I79" s="13" t="n">
        <v>176</v>
      </c>
      <c r="J79" s="13" t="n">
        <v>0</v>
      </c>
    </row>
    <row r="80">
      <c r="A80" t="inlineStr">
        <is>
          <t>101062</t>
        </is>
      </c>
      <c r="B80" t="inlineStr">
        <is>
          <t>102200</t>
        </is>
      </c>
      <c r="C80" t="inlineStr">
        <is>
          <t>Westmoreland Parish Cncl</t>
        </is>
      </c>
      <c r="D80" t="inlineStr">
        <is>
          <t>H400</t>
        </is>
      </c>
      <c r="E80" t="inlineStr">
        <is>
          <t>ST</t>
        </is>
      </c>
      <c r="F80" t="inlineStr">
        <is>
          <t>RT60-ST</t>
        </is>
      </c>
      <c r="G80" t="inlineStr">
        <is>
          <t>Sav-la-Mar</t>
        </is>
      </c>
      <c r="H80" t="inlineStr">
        <is>
          <t>A</t>
        </is>
      </c>
      <c r="I80" s="13" t="n">
        <v>176</v>
      </c>
      <c r="J80" s="13" t="n">
        <v>0</v>
      </c>
    </row>
    <row r="81">
      <c r="A81" t="inlineStr">
        <is>
          <t>101180</t>
        </is>
      </c>
      <c r="B81" t="inlineStr">
        <is>
          <t>102201</t>
        </is>
      </c>
      <c r="C81" t="inlineStr">
        <is>
          <t>Hanover Parish Council</t>
        </is>
      </c>
      <c r="D81" t="inlineStr">
        <is>
          <t>H400</t>
        </is>
      </c>
      <c r="E81" t="inlineStr">
        <is>
          <t>ST</t>
        </is>
      </c>
      <c r="F81" t="inlineStr">
        <is>
          <t>RT60-ST</t>
        </is>
      </c>
      <c r="G81" t="inlineStr">
        <is>
          <t>Lucea</t>
        </is>
      </c>
      <c r="H81" t="inlineStr">
        <is>
          <t>A</t>
        </is>
      </c>
      <c r="I81" s="13" t="n">
        <v>176</v>
      </c>
      <c r="J81" s="13" t="n">
        <v>0</v>
      </c>
    </row>
    <row r="82">
      <c r="A82" t="inlineStr">
        <is>
          <t>101175</t>
        </is>
      </c>
      <c r="B82" t="inlineStr">
        <is>
          <t>102181</t>
        </is>
      </c>
      <c r="C82" t="inlineStr">
        <is>
          <t>St. Mary Parish Council</t>
        </is>
      </c>
      <c r="D82" t="inlineStr">
        <is>
          <t>H400</t>
        </is>
      </c>
      <c r="E82" t="inlineStr">
        <is>
          <t>ST</t>
        </is>
      </c>
      <c r="F82" t="inlineStr">
        <is>
          <t>RT60-ST</t>
        </is>
      </c>
      <c r="G82" t="inlineStr">
        <is>
          <t>Port Maria</t>
        </is>
      </c>
      <c r="H82" t="inlineStr">
        <is>
          <t>A</t>
        </is>
      </c>
      <c r="I82" s="13" t="n">
        <v>176</v>
      </c>
      <c r="J82" s="13" t="n">
        <v>0</v>
      </c>
    </row>
    <row r="84">
      <c r="C84" s="4" t="inlineStr">
        <is>
          <t>Total</t>
        </is>
      </c>
      <c r="I84" s="14">
        <f>SUM(I5:I82)</f>
        <v/>
      </c>
      <c r="J84" s="14">
        <f>SUM(J5:J82)</f>
        <v/>
      </c>
    </row>
    <row r="85">
      <c r="C85" t="inlineStr">
        <is>
          <t>RT10</t>
        </is>
      </c>
      <c r="I85" s="13">
        <f>SUMIF(F5:F82,"RT10",I5:I82)</f>
        <v/>
      </c>
      <c r="J85" s="13">
        <f>SUMIF(F5:F82,"RT10",J5:J82)</f>
        <v/>
      </c>
    </row>
    <row r="86">
      <c r="C86" t="inlineStr">
        <is>
          <t>RT20</t>
        </is>
      </c>
      <c r="I86" s="13">
        <f>SUMIF(F5:F82,"RT20",I5:I82)</f>
        <v/>
      </c>
      <c r="J86" s="13">
        <f>SUMIF(F5:F82,"RT20",J5:J82)</f>
        <v/>
      </c>
    </row>
    <row r="87">
      <c r="C87" t="inlineStr">
        <is>
          <t>RT60-ST</t>
        </is>
      </c>
      <c r="I87" s="13">
        <f>SUMIF(F5:F82,"RT60-ST",I5:I82)</f>
        <v/>
      </c>
      <c r="J87" s="13">
        <f>SUMIF(F5:F82,"RT60-ST",J5:J82)</f>
        <v/>
      </c>
    </row>
  </sheetData>
  <autoFilter ref="A4:J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0" customWidth="1" min="1" max="1"/>
    <col width="16" customWidth="1" min="2" max="2"/>
    <col width="16" customWidth="1" min="3" max="3"/>
  </cols>
  <sheetData>
    <row r="1">
      <c r="A1" s="1" t="inlineStr">
        <is>
          <t>RT40: Earnings Sheet vs raw billing file (same September 2026 billing data)</t>
        </is>
      </c>
    </row>
    <row r="3">
      <c r="A3" s="7" t="inlineStr">
        <is>
          <t>Item</t>
        </is>
      </c>
      <c r="B3" s="7" t="inlineStr">
        <is>
          <t>Value</t>
        </is>
      </c>
      <c r="C3" s="7" t="inlineStr">
        <is>
          <t>Unit</t>
        </is>
      </c>
    </row>
    <row r="4">
      <c r="A4" t="inlineStr">
        <is>
          <t>Raw file, RT40 (LC-40) billed rows</t>
        </is>
      </c>
      <c r="B4" s="15" t="n">
        <v>1963</v>
      </c>
      <c r="C4" t="inlineStr">
        <is>
          <t>count</t>
        </is>
      </c>
    </row>
    <row r="5">
      <c r="A5" t="inlineStr">
        <is>
          <t>Raw file, distinct RT40 premises (billed)</t>
        </is>
      </c>
      <c r="B5" s="15" t="n">
        <v>1962</v>
      </c>
      <c r="C5" t="inlineStr">
        <is>
          <t>count</t>
        </is>
      </c>
    </row>
    <row r="6">
      <c r="A6" t="inlineStr">
        <is>
          <t>Earnings Sheet, RT40 customers</t>
        </is>
      </c>
      <c r="B6" s="15" t="n">
        <v>1962</v>
      </c>
      <c r="C6" t="inlineStr">
        <is>
          <t>count</t>
        </is>
      </c>
    </row>
    <row r="7">
      <c r="A7" t="inlineStr">
        <is>
          <t>Raw file RT40 kWh</t>
        </is>
      </c>
      <c r="B7" s="15" t="n">
        <v>67312955.69</v>
      </c>
      <c r="C7" t="inlineStr">
        <is>
          <t>kWh</t>
        </is>
      </c>
    </row>
    <row r="8">
      <c r="A8" t="inlineStr">
        <is>
          <t>Earnings Sheet RT40 kWh</t>
        </is>
      </c>
      <c r="B8" s="15" t="n">
        <v>67272954</v>
      </c>
      <c r="C8" t="inlineStr">
        <is>
          <t>kWh</t>
        </is>
      </c>
    </row>
    <row r="9">
      <c r="A9" t="inlineStr">
        <is>
          <t>Gap (raw - Sheet)</t>
        </is>
      </c>
      <c r="B9" s="15" t="n">
        <v>40001.68999999762</v>
      </c>
      <c r="C9" t="inlineStr">
        <is>
          <t>kWh</t>
        </is>
      </c>
    </row>
    <row r="11">
      <c r="A11" s="4" t="inlineStr">
        <is>
          <t>What this shows</t>
        </is>
      </c>
    </row>
    <row r="12" ht="48" customHeight="1">
      <c r="A12" s="6" t="inlineStr">
        <is>
          <t>The Sheet customer count (1,962) equals the number of distinct RT40 premises in the raw file, so no whole account is missing from the Sheet: the gap is a kWh difference on accounts that are counted.</t>
        </is>
      </c>
    </row>
    <row r="13" ht="48" customHeight="1">
      <c r="A13" s="6" t="inlineStr">
        <is>
          <t>No single RT40 bill equals the gap. The only round-number bill near it is Salada Foods Jamaica Ltd, 40,000.00 kWh, J$2,019,806 (cust 100826, premise 101454), about 2 kWh from the gap. Candidate only, not confirmed.</t>
        </is>
      </c>
    </row>
    <row r="14" ht="48" customHeight="1">
      <c r="A14" s="6" t="inlineStr">
        <is>
          <t>20 pairs of RT40 bills also sum to the gap within +/-0.6 kWh, so matching on the amount alone cannot identify the transaction. The billing run or the finance adjustment listing is needed to confirm.</t>
        </is>
      </c>
    </row>
    <row r="16">
      <c r="A16" s="4" t="inlineStr">
        <is>
          <t>Candidate transactions</t>
        </is>
      </c>
    </row>
    <row r="17">
      <c r="A17" s="7" t="inlineStr">
        <is>
          <t>Name / premise</t>
        </is>
      </c>
      <c r="B17" s="7" t="inlineStr">
        <is>
          <t>kWh</t>
        </is>
      </c>
      <c r="C17" s="7" t="inlineStr">
        <is>
          <t>Net revenue J$</t>
        </is>
      </c>
    </row>
    <row r="18">
      <c r="A18" t="inlineStr">
        <is>
          <t>Salada Foods Jamaica Ltd (100826-101454) - single bill</t>
        </is>
      </c>
      <c r="B18" s="15" t="n">
        <v>40000</v>
      </c>
      <c r="C18" s="15" t="n">
        <v>2019806.16</v>
      </c>
    </row>
    <row r="19">
      <c r="A19" t="inlineStr">
        <is>
          <t>Sweet Craft Limited (688747-730784) + Salada Foods Jamaica Ltd (100826-101454) - two bills</t>
        </is>
      </c>
      <c r="B19" s="15" t="n">
        <v>40002.04</v>
      </c>
      <c r="C19" s="15" t="n">
        <v>2204088.94</v>
      </c>
    </row>
    <row r="20">
      <c r="A20" t="inlineStr">
        <is>
          <t>Needle, Alice (909657-794215) + Kingston Wharves Ltd (100912-101573) - two bills</t>
        </is>
      </c>
      <c r="B20" s="15" t="n">
        <v>40001.6</v>
      </c>
      <c r="C20" s="15" t="n">
        <v>1857320.73</v>
      </c>
    </row>
    <row r="21">
      <c r="A21" t="inlineStr">
        <is>
          <t>Bank of Nova Scotia (100073-142820) + National Water Commission (100012-604911) - two bills</t>
        </is>
      </c>
      <c r="B21" s="15" t="n">
        <v>40001.2</v>
      </c>
      <c r="C21" s="15" t="n">
        <v>2066070.13</v>
      </c>
    </row>
  </sheetData>
  <mergeCells count="3">
    <mergeCell ref="A12:C12"/>
    <mergeCell ref="A14:C14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2026-10-09T05:44:53Z</dcterms:created>
  <dcterms:modified xmlns:dcterms="http://purl.org/dc/terms/" xmlns:xsi="http://www.w3.org/2001/XMLSchema-instance" xsi:type="dcterms:W3CDTF">2026-10-09T05:44:53Z</dcterms:modified>
</cp:coreProperties>
</file>